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henrique_fagundes\Documents\Atividades - Excel\"/>
    </mc:Choice>
  </mc:AlternateContent>
  <xr:revisionPtr revIDLastSave="0" documentId="13_ncr:1_{E6E7EAC4-3A92-4640-AEAD-688C77F465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a Compras" sheetId="2" r:id="rId1"/>
    <sheet name="Kilometragem" sheetId="1" r:id="rId2"/>
    <sheet name="Plan3" sheetId="3" r:id="rId3"/>
  </sheets>
  <definedNames>
    <definedName name="SECAO">'Lista Compras'!$C$31:$C$35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dxmBgMaUY8A+L3Hdj18pXPu0p4k3HH3yqeOvANopgkc="/>
    </ext>
  </extLst>
</workbook>
</file>

<file path=xl/calcChain.xml><?xml version="1.0" encoding="utf-8"?>
<calcChain xmlns="http://schemas.openxmlformats.org/spreadsheetml/2006/main">
  <c r="I2" i="2" l="1"/>
  <c r="G31" i="2"/>
  <c r="E24" i="1"/>
  <c r="E22" i="1"/>
  <c r="E23" i="1"/>
  <c r="H12" i="1"/>
  <c r="H14" i="1"/>
  <c r="H13" i="1"/>
  <c r="H15" i="1"/>
  <c r="H16" i="1"/>
  <c r="H17" i="1"/>
  <c r="H18" i="1"/>
  <c r="H19" i="1"/>
  <c r="F12" i="1"/>
  <c r="G27" i="2"/>
  <c r="D31" i="2"/>
  <c r="D32" i="2"/>
  <c r="D33" i="2"/>
  <c r="D34" i="2"/>
  <c r="D35" i="2"/>
  <c r="F32" i="2"/>
  <c r="F33" i="2"/>
  <c r="F34" i="2"/>
  <c r="F35" i="2"/>
  <c r="F31" i="2"/>
  <c r="G32" i="2"/>
  <c r="G33" i="2"/>
  <c r="G34" i="2"/>
  <c r="G35" i="2"/>
  <c r="F13" i="1"/>
  <c r="F14" i="1"/>
  <c r="F15" i="1"/>
  <c r="G15" i="1" s="1"/>
  <c r="F16" i="1"/>
  <c r="G16" i="1" s="1"/>
  <c r="F17" i="1"/>
  <c r="G17" i="1" s="1"/>
  <c r="F18" i="1"/>
  <c r="G18" i="1" s="1"/>
  <c r="F19" i="1"/>
  <c r="G12" i="1"/>
  <c r="G13" i="1"/>
  <c r="G14" i="1"/>
  <c r="G19" i="1"/>
  <c r="G29" i="2"/>
  <c r="F29" i="2"/>
  <c r="D29" i="2"/>
  <c r="G28" i="2"/>
  <c r="F28" i="2"/>
  <c r="D28" i="2"/>
  <c r="D27" i="2"/>
  <c r="F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PCTITO</author>
  </authors>
  <commentList>
    <comment ref="F1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Irlândio:</t>
        </r>
        <r>
          <rPr>
            <sz val="9"/>
            <color indexed="81"/>
            <rFont val="Tahoma"/>
            <family val="2"/>
          </rPr>
          <t xml:space="preserve"> Calcular o consumo realizando kilometro percorrido dividido pela quantidade de litros
</t>
        </r>
      </text>
    </comment>
    <comment ref="G10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Irlândio:</t>
        </r>
        <r>
          <rPr>
            <sz val="9"/>
            <color indexed="81"/>
            <rFont val="Tahoma"/>
            <family val="2"/>
          </rPr>
          <t xml:space="preserve">
Calcule quantidade de litros vezes o preço do litro</t>
        </r>
      </text>
    </comment>
    <comment ref="H10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Irlândio:</t>
        </r>
        <r>
          <rPr>
            <sz val="9"/>
            <color indexed="81"/>
            <rFont val="Tahoma"/>
            <family val="2"/>
          </rPr>
          <t xml:space="preserve">
 Utilizar formulas de condicionar o que será exibido na celula conforme o consumo</t>
        </r>
      </text>
    </comment>
  </commentList>
</comments>
</file>

<file path=xl/sharedStrings.xml><?xml version="1.0" encoding="utf-8"?>
<sst xmlns="http://schemas.openxmlformats.org/spreadsheetml/2006/main" count="137" uniqueCount="98">
  <si>
    <t>CONTROLES DE QUILOMETRAGENS E GASTOS COM COMBUSTÍVEL</t>
  </si>
  <si>
    <t>LOCADORA ETC LTDA.</t>
  </si>
  <si>
    <t>Valor</t>
  </si>
  <si>
    <t>Combustível:</t>
  </si>
  <si>
    <t>CARRO</t>
  </si>
  <si>
    <t>PLACA</t>
  </si>
  <si>
    <t>KM Inicial</t>
  </si>
  <si>
    <t>KM Final</t>
  </si>
  <si>
    <t>Litros</t>
  </si>
  <si>
    <t>Km por</t>
  </si>
  <si>
    <t>Custo</t>
  </si>
  <si>
    <t>Situação</t>
  </si>
  <si>
    <t>litro</t>
  </si>
  <si>
    <t>Viagem</t>
  </si>
  <si>
    <t>Gol</t>
  </si>
  <si>
    <t xml:space="preserve">WRF 2154 </t>
  </si>
  <si>
    <t>Pálio</t>
  </si>
  <si>
    <t>EWR 2457</t>
  </si>
  <si>
    <t>Fox</t>
  </si>
  <si>
    <t>EFF 1245</t>
  </si>
  <si>
    <t>Audi</t>
  </si>
  <si>
    <t xml:space="preserve"> EFG 1245</t>
  </si>
  <si>
    <t>Brava</t>
  </si>
  <si>
    <t>DFG 1254</t>
  </si>
  <si>
    <t>Fiesta</t>
  </si>
  <si>
    <t>LYJ 3594</t>
  </si>
  <si>
    <t>Corsa</t>
  </si>
  <si>
    <t xml:space="preserve">NMD 5784 </t>
  </si>
  <si>
    <t>Clio</t>
  </si>
  <si>
    <t>OPH 6587</t>
  </si>
  <si>
    <t>Estatísticas</t>
  </si>
  <si>
    <t>Maior consumo de combustível</t>
  </si>
  <si>
    <t>Menor consumo de combustível</t>
  </si>
  <si>
    <t>Qtde. de veículos que gastaram mais de 200 litros</t>
  </si>
  <si>
    <t>Baixo</t>
  </si>
  <si>
    <t>Médio</t>
  </si>
  <si>
    <t>Alto</t>
  </si>
  <si>
    <t>Situação de consumo</t>
  </si>
  <si>
    <t>12 - 14 km/l</t>
  </si>
  <si>
    <r>
      <rPr>
        <b/>
        <sz val="10"/>
        <color rgb="FF000000"/>
        <rFont val="Arial"/>
        <family val="2"/>
        <scheme val="minor"/>
      </rPr>
      <t>&lt;</t>
    </r>
    <r>
      <rPr>
        <sz val="10"/>
        <color rgb="FF000000"/>
        <rFont val="Arial"/>
        <scheme val="minor"/>
      </rPr>
      <t xml:space="preserve"> 12 km/l</t>
    </r>
  </si>
  <si>
    <r>
      <rPr>
        <b/>
        <sz val="10"/>
        <color rgb="FF000000"/>
        <rFont val="Arial"/>
        <family val="2"/>
        <scheme val="minor"/>
      </rPr>
      <t>&gt;</t>
    </r>
    <r>
      <rPr>
        <sz val="10"/>
        <color rgb="FF000000"/>
        <rFont val="Arial"/>
        <scheme val="minor"/>
      </rPr>
      <t xml:space="preserve"> 14 km/l</t>
    </r>
  </si>
  <si>
    <t>Lista de Compras</t>
  </si>
  <si>
    <t>Item</t>
  </si>
  <si>
    <t>Descrição</t>
  </si>
  <si>
    <t>Seção</t>
  </si>
  <si>
    <t>Qtd</t>
  </si>
  <si>
    <t>Unidade</t>
  </si>
  <si>
    <t>Valor Unitário</t>
  </si>
  <si>
    <t>Valor Total</t>
  </si>
  <si>
    <t>Macarrão</t>
  </si>
  <si>
    <t>Alimentos</t>
  </si>
  <si>
    <t>Pacotes</t>
  </si>
  <si>
    <t>Açúcar</t>
  </si>
  <si>
    <t>Quilo</t>
  </si>
  <si>
    <t>Azeite</t>
  </si>
  <si>
    <t>Lata</t>
  </si>
  <si>
    <t>Café</t>
  </si>
  <si>
    <t>Vidro</t>
  </si>
  <si>
    <t>Feijão</t>
  </si>
  <si>
    <t>Frango</t>
  </si>
  <si>
    <t>Nescau</t>
  </si>
  <si>
    <t>Latas</t>
  </si>
  <si>
    <t>Farinha</t>
  </si>
  <si>
    <t>Carne Moida</t>
  </si>
  <si>
    <t>Biscoito</t>
  </si>
  <si>
    <t>Refrigerante</t>
  </si>
  <si>
    <t>Bebida</t>
  </si>
  <si>
    <t>Leite</t>
  </si>
  <si>
    <t>Caixas</t>
  </si>
  <si>
    <t>Suco</t>
  </si>
  <si>
    <t>Laranja</t>
  </si>
  <si>
    <t>Frutas</t>
  </si>
  <si>
    <t>Papel Toalha</t>
  </si>
  <si>
    <t>Limpeza</t>
  </si>
  <si>
    <t>Rolo</t>
  </si>
  <si>
    <t>Alvejante</t>
  </si>
  <si>
    <t>Detergente</t>
  </si>
  <si>
    <t>Tubos</t>
  </si>
  <si>
    <t>Papel Higiênico</t>
  </si>
  <si>
    <t>Rolos</t>
  </si>
  <si>
    <t>Sabonete</t>
  </si>
  <si>
    <t>Unidades</t>
  </si>
  <si>
    <t>Shampoo</t>
  </si>
  <si>
    <t>Tomate</t>
  </si>
  <si>
    <t>Verdura</t>
  </si>
  <si>
    <t>Cebola</t>
  </si>
  <si>
    <t>Total com Suco</t>
  </si>
  <si>
    <t>Total sem Suco</t>
  </si>
  <si>
    <t>Diferença</t>
  </si>
  <si>
    <t>Totais por SEÇÕES</t>
  </si>
  <si>
    <t>Total</t>
  </si>
  <si>
    <t>SEÇÃO</t>
  </si>
  <si>
    <t>TOTAL</t>
  </si>
  <si>
    <t>SOMASE(C$5:C$26;C31;G$5:G$26)</t>
  </si>
  <si>
    <t>SOMASE(C$5:C$26;C32;G$5:G$26)</t>
  </si>
  <si>
    <t>SOMASE(C$5:C$26;C33;G$5:G$26)</t>
  </si>
  <si>
    <t>SOMASE(C$5:C$26;C34;G$5:G$26)</t>
  </si>
  <si>
    <t>SOMASE(C$5:C$26;C35;G$5:G$26)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</si>
</sst>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.0"/>
    <numFmt numFmtId="165" formatCode="_(&quot;R$ &quot;* #,##0.00_);_(&quot;R$ &quot;* \(#,##0.00\);_(&quot;R$ &quot;* &quot;-&quot;??_);_(@_)"/>
  </numFmts>
  <fonts count="22" x14ac:knownFonts="1">
    <font>
      <sz val="10"/>
      <color rgb="FF000000"/>
      <name val="Arial"/>
      <scheme val="minor"/>
    </font>
    <font>
      <b/>
      <sz val="12"/>
      <color rgb="FFFFFFFF"/>
      <name val="Arial"/>
    </font>
    <font>
      <sz val="10"/>
      <name val="Arial"/>
    </font>
    <font>
      <b/>
      <sz val="10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u/>
      <sz val="10"/>
      <color rgb="FF000000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sz val="10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00CCFF"/>
        <bgColor rgb="FF00CCFF"/>
      </patternFill>
    </fill>
    <fill>
      <patternFill patternType="solid">
        <fgColor rgb="FFCCFFCC"/>
        <bgColor rgb="FFCCFFCC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rgb="FF0000FF"/>
      </patternFill>
    </fill>
    <fill>
      <patternFill patternType="solid">
        <fgColor rgb="FF92D050"/>
        <bgColor indexed="64"/>
      </patternFill>
    </fill>
    <fill>
      <patternFill patternType="solid">
        <fgColor rgb="FF884106"/>
        <bgColor indexed="64"/>
      </patternFill>
    </fill>
    <fill>
      <patternFill patternType="solid">
        <fgColor theme="6" tint="0.59999389629810485"/>
        <bgColor rgb="FFFF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rgb="FFFFFFFF"/>
      </patternFill>
    </fill>
    <fill>
      <patternFill patternType="solid">
        <fgColor rgb="FF884106"/>
        <bgColor rgb="FFFFFFFF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8" tint="-0.499984740745262"/>
        <bgColor indexed="64"/>
      </patternFill>
    </fill>
  </fills>
  <borders count="5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100">
    <xf numFmtId="0" fontId="0" fillId="0" borderId="0" xfId="0" applyFont="1" applyAlignment="1"/>
    <xf numFmtId="0" fontId="3" fillId="3" borderId="10" xfId="0" applyFont="1" applyFill="1" applyBorder="1" applyAlignment="1">
      <alignment horizontal="right"/>
    </xf>
    <xf numFmtId="0" fontId="5" fillId="0" borderId="0" xfId="0" applyFont="1" applyAlignment="1">
      <alignment horizontal="center"/>
    </xf>
    <xf numFmtId="0" fontId="3" fillId="3" borderId="12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5" fillId="4" borderId="16" xfId="0" applyFont="1" applyFill="1" applyBorder="1" applyAlignment="1"/>
    <xf numFmtId="164" fontId="5" fillId="5" borderId="16" xfId="0" applyNumberFormat="1" applyFont="1" applyFill="1" applyBorder="1" applyAlignment="1"/>
    <xf numFmtId="165" fontId="5" fillId="5" borderId="16" xfId="0" applyNumberFormat="1" applyFont="1" applyFill="1" applyBorder="1" applyAlignment="1"/>
    <xf numFmtId="0" fontId="3" fillId="5" borderId="16" xfId="0" applyFont="1" applyFill="1" applyBorder="1" applyAlignment="1">
      <alignment horizontal="center"/>
    </xf>
    <xf numFmtId="0" fontId="5" fillId="4" borderId="17" xfId="0" applyFont="1" applyFill="1" applyBorder="1" applyAlignment="1"/>
    <xf numFmtId="164" fontId="4" fillId="5" borderId="16" xfId="0" applyNumberFormat="1" applyFont="1" applyFill="1" applyBorder="1" applyAlignment="1">
      <alignment horizontal="center"/>
    </xf>
    <xf numFmtId="0" fontId="5" fillId="6" borderId="10" xfId="0" applyFont="1" applyFill="1" applyBorder="1" applyAlignment="1"/>
    <xf numFmtId="0" fontId="5" fillId="6" borderId="21" xfId="0" applyFont="1" applyFill="1" applyBorder="1" applyAlignment="1"/>
    <xf numFmtId="0" fontId="5" fillId="6" borderId="22" xfId="0" applyFont="1" applyFill="1" applyBorder="1" applyAlignment="1"/>
    <xf numFmtId="0" fontId="5" fillId="6" borderId="23" xfId="0" applyFont="1" applyFill="1" applyBorder="1" applyAlignment="1"/>
    <xf numFmtId="0" fontId="5" fillId="6" borderId="24" xfId="0" applyFont="1" applyFill="1" applyBorder="1" applyAlignment="1"/>
    <xf numFmtId="0" fontId="5" fillId="6" borderId="25" xfId="0" applyFont="1" applyFill="1" applyBorder="1" applyAlignment="1"/>
    <xf numFmtId="0" fontId="4" fillId="5" borderId="16" xfId="0" applyFont="1" applyFill="1" applyBorder="1" applyAlignment="1">
      <alignment horizontal="center"/>
    </xf>
    <xf numFmtId="0" fontId="5" fillId="6" borderId="12" xfId="0" applyFont="1" applyFill="1" applyBorder="1" applyAlignment="1"/>
    <xf numFmtId="0" fontId="5" fillId="6" borderId="26" xfId="0" applyFont="1" applyFill="1" applyBorder="1" applyAlignment="1"/>
    <xf numFmtId="0" fontId="5" fillId="6" borderId="27" xfId="0" applyFont="1" applyFill="1" applyBorder="1" applyAlignment="1"/>
    <xf numFmtId="0" fontId="0" fillId="0" borderId="0" xfId="0" applyFont="1" applyAlignment="1">
      <alignment horizontal="center"/>
    </xf>
    <xf numFmtId="0" fontId="2" fillId="0" borderId="24" xfId="0" applyFont="1" applyBorder="1"/>
    <xf numFmtId="0" fontId="0" fillId="7" borderId="31" xfId="0" applyFont="1" applyFill="1" applyBorder="1" applyAlignment="1"/>
    <xf numFmtId="0" fontId="0" fillId="7" borderId="33" xfId="0" applyFont="1" applyFill="1" applyBorder="1" applyAlignment="1"/>
    <xf numFmtId="0" fontId="0" fillId="9" borderId="34" xfId="0" applyFont="1" applyFill="1" applyBorder="1" applyAlignment="1"/>
    <xf numFmtId="0" fontId="0" fillId="7" borderId="35" xfId="0" applyFont="1" applyFill="1" applyBorder="1" applyAlignment="1"/>
    <xf numFmtId="0" fontId="9" fillId="9" borderId="32" xfId="0" applyFont="1" applyFill="1" applyBorder="1" applyAlignment="1"/>
    <xf numFmtId="0" fontId="9" fillId="9" borderId="36" xfId="0" applyFont="1" applyFill="1" applyBorder="1" applyAlignment="1"/>
    <xf numFmtId="0" fontId="4" fillId="3" borderId="16" xfId="0" applyFont="1" applyFill="1" applyBorder="1" applyAlignment="1">
      <alignment horizontal="left"/>
    </xf>
    <xf numFmtId="0" fontId="0" fillId="0" borderId="0" xfId="0"/>
    <xf numFmtId="0" fontId="14" fillId="6" borderId="45" xfId="0" applyFont="1" applyFill="1" applyBorder="1"/>
    <xf numFmtId="0" fontId="14" fillId="6" borderId="45" xfId="0" applyFont="1" applyFill="1" applyBorder="1" applyAlignment="1">
      <alignment horizontal="center"/>
    </xf>
    <xf numFmtId="44" fontId="0" fillId="0" borderId="0" xfId="0" applyNumberFormat="1"/>
    <xf numFmtId="0" fontId="11" fillId="0" borderId="45" xfId="0" applyFont="1" applyBorder="1"/>
    <xf numFmtId="4" fontId="11" fillId="0" borderId="45" xfId="0" applyNumberFormat="1" applyFont="1" applyBorder="1"/>
    <xf numFmtId="44" fontId="15" fillId="6" borderId="45" xfId="1" applyFont="1" applyFill="1" applyBorder="1" applyAlignment="1"/>
    <xf numFmtId="44" fontId="15" fillId="0" borderId="45" xfId="1" applyFont="1" applyBorder="1" applyAlignment="1"/>
    <xf numFmtId="4" fontId="15" fillId="0" borderId="45" xfId="0" applyNumberFormat="1" applyFont="1" applyBorder="1"/>
    <xf numFmtId="164" fontId="16" fillId="5" borderId="16" xfId="0" applyNumberFormat="1" applyFont="1" applyFill="1" applyBorder="1" applyAlignment="1">
      <alignment horizontal="center"/>
    </xf>
    <xf numFmtId="0" fontId="17" fillId="0" borderId="0" xfId="0" applyFont="1" applyAlignment="1"/>
    <xf numFmtId="0" fontId="0" fillId="0" borderId="0" xfId="0"/>
    <xf numFmtId="0" fontId="11" fillId="0" borderId="49" xfId="0" applyFont="1" applyBorder="1"/>
    <xf numFmtId="4" fontId="15" fillId="0" borderId="49" xfId="0" applyNumberFormat="1" applyFont="1" applyBorder="1"/>
    <xf numFmtId="44" fontId="15" fillId="0" borderId="49" xfId="1" applyFont="1" applyBorder="1" applyAlignment="1"/>
    <xf numFmtId="4" fontId="15" fillId="0" borderId="50" xfId="0" applyNumberFormat="1" applyFont="1" applyBorder="1"/>
    <xf numFmtId="0" fontId="11" fillId="0" borderId="50" xfId="0" applyFont="1" applyBorder="1"/>
    <xf numFmtId="44" fontId="15" fillId="0" borderId="50" xfId="1" applyFont="1" applyBorder="1" applyAlignment="1"/>
    <xf numFmtId="44" fontId="15" fillId="6" borderId="50" xfId="1" applyFont="1" applyFill="1" applyBorder="1" applyAlignment="1"/>
    <xf numFmtId="0" fontId="11" fillId="11" borderId="45" xfId="0" applyFont="1" applyFill="1" applyBorder="1"/>
    <xf numFmtId="0" fontId="11" fillId="11" borderId="50" xfId="0" applyFont="1" applyFill="1" applyBorder="1"/>
    <xf numFmtId="0" fontId="14" fillId="12" borderId="46" xfId="0" applyFont="1" applyFill="1" applyBorder="1" applyAlignment="1">
      <alignment horizontal="left"/>
    </xf>
    <xf numFmtId="0" fontId="19" fillId="12" borderId="47" xfId="0" applyFont="1" applyFill="1" applyBorder="1"/>
    <xf numFmtId="49" fontId="12" fillId="4" borderId="37" xfId="0" applyNumberFormat="1" applyFont="1" applyFill="1" applyBorder="1" applyAlignment="1">
      <alignment horizontal="center" vertical="center"/>
    </xf>
    <xf numFmtId="0" fontId="13" fillId="0" borderId="38" xfId="0" applyFont="1" applyBorder="1"/>
    <xf numFmtId="0" fontId="13" fillId="0" borderId="39" xfId="0" applyFont="1" applyBorder="1"/>
    <xf numFmtId="0" fontId="13" fillId="0" borderId="40" xfId="0" applyFont="1" applyBorder="1"/>
    <xf numFmtId="0" fontId="0" fillId="0" borderId="0" xfId="0"/>
    <xf numFmtId="0" fontId="13" fillId="0" borderId="41" xfId="0" applyFont="1" applyBorder="1"/>
    <xf numFmtId="0" fontId="13" fillId="0" borderId="42" xfId="0" applyFont="1" applyBorder="1"/>
    <xf numFmtId="0" fontId="13" fillId="0" borderId="43" xfId="0" applyFont="1" applyBorder="1"/>
    <xf numFmtId="0" fontId="13" fillId="0" borderId="44" xfId="0" applyFont="1" applyBorder="1"/>
    <xf numFmtId="0" fontId="11" fillId="0" borderId="46" xfId="0" applyFont="1" applyBorder="1" applyAlignment="1">
      <alignment horizontal="left"/>
    </xf>
    <xf numFmtId="0" fontId="13" fillId="0" borderId="47" xfId="0" applyFont="1" applyBorder="1"/>
    <xf numFmtId="0" fontId="11" fillId="0" borderId="37" xfId="0" applyFont="1" applyBorder="1" applyAlignment="1">
      <alignment horizontal="left"/>
    </xf>
    <xf numFmtId="0" fontId="14" fillId="12" borderId="42" xfId="0" applyFont="1" applyFill="1" applyBorder="1" applyAlignment="1">
      <alignment horizontal="left"/>
    </xf>
    <xf numFmtId="0" fontId="19" fillId="12" borderId="44" xfId="0" applyFont="1" applyFill="1" applyBorder="1"/>
    <xf numFmtId="0" fontId="14" fillId="12" borderId="47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14" fontId="1" fillId="2" borderId="7" xfId="0" applyNumberFormat="1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 vertical="center"/>
    </xf>
    <xf numFmtId="0" fontId="2" fillId="0" borderId="13" xfId="0" applyFont="1" applyBorder="1"/>
    <xf numFmtId="0" fontId="1" fillId="2" borderId="11" xfId="0" applyFont="1" applyFill="1" applyBorder="1" applyAlignment="1">
      <alignment horizontal="center" vertical="center"/>
    </xf>
    <xf numFmtId="0" fontId="1" fillId="8" borderId="28" xfId="0" applyFont="1" applyFill="1" applyBorder="1" applyAlignment="1">
      <alignment horizontal="center" vertical="center" wrapText="1"/>
    </xf>
    <xf numFmtId="0" fontId="1" fillId="8" borderId="29" xfId="0" applyFont="1" applyFill="1" applyBorder="1" applyAlignment="1">
      <alignment horizontal="center" vertical="center" wrapText="1"/>
    </xf>
    <xf numFmtId="0" fontId="1" fillId="8" borderId="30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/>
    </xf>
    <xf numFmtId="0" fontId="2" fillId="0" borderId="19" xfId="0" applyFont="1" applyBorder="1"/>
    <xf numFmtId="0" fontId="2" fillId="0" borderId="20" xfId="0" applyFont="1" applyBorder="1"/>
    <xf numFmtId="0" fontId="0" fillId="13" borderId="0" xfId="0" applyFill="1"/>
    <xf numFmtId="0" fontId="11" fillId="14" borderId="45" xfId="0" applyFont="1" applyFill="1" applyBorder="1"/>
    <xf numFmtId="0" fontId="20" fillId="15" borderId="45" xfId="0" applyFont="1" applyFill="1" applyBorder="1" applyAlignment="1">
      <alignment horizontal="center"/>
    </xf>
    <xf numFmtId="44" fontId="20" fillId="15" borderId="45" xfId="1" applyFont="1" applyFill="1" applyBorder="1" applyAlignment="1"/>
    <xf numFmtId="44" fontId="20" fillId="15" borderId="49" xfId="1" applyFont="1" applyFill="1" applyBorder="1" applyAlignment="1"/>
    <xf numFmtId="4" fontId="11" fillId="16" borderId="45" xfId="0" applyNumberFormat="1" applyFont="1" applyFill="1" applyBorder="1" applyAlignment="1">
      <alignment horizontal="center"/>
    </xf>
    <xf numFmtId="0" fontId="11" fillId="16" borderId="45" xfId="0" applyFont="1" applyFill="1" applyBorder="1"/>
    <xf numFmtId="44" fontId="11" fillId="16" borderId="45" xfId="1" applyFont="1" applyFill="1" applyBorder="1" applyAlignment="1"/>
    <xf numFmtId="0" fontId="21" fillId="10" borderId="0" xfId="0" applyFont="1" applyFill="1"/>
    <xf numFmtId="0" fontId="18" fillId="17" borderId="48" xfId="0" applyFont="1" applyFill="1" applyBorder="1" applyAlignment="1">
      <alignment horizontal="center"/>
    </xf>
    <xf numFmtId="0" fontId="0" fillId="17" borderId="48" xfId="0" applyFill="1" applyBorder="1" applyAlignment="1">
      <alignment horizontal="center"/>
    </xf>
    <xf numFmtId="2" fontId="21" fillId="10" borderId="0" xfId="0" applyNumberFormat="1" applyFont="1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884106"/>
      <color rgb="FFFFB2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752475</xdr:colOff>
      <xdr:row>1</xdr:row>
      <xdr:rowOff>0</xdr:rowOff>
    </xdr:from>
    <xdr:ext cx="95250" cy="200025"/>
    <xdr:sp macro="" textlink="">
      <xdr:nvSpPr>
        <xdr:cNvPr id="2" name="Shape 13">
          <a:extLst>
            <a:ext uri="{FF2B5EF4-FFF2-40B4-BE49-F238E27FC236}">
              <a16:creationId xmlns:a16="http://schemas.microsoft.com/office/drawing/2014/main" id="{40E33826-C605-43E0-BDA6-A182268EEFF9}"/>
            </a:ext>
          </a:extLst>
        </xdr:cNvPr>
        <xdr:cNvSpPr/>
      </xdr:nvSpPr>
      <xdr:spPr>
        <a:xfrm>
          <a:off x="4724400" y="161925"/>
          <a:ext cx="952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981075</xdr:colOff>
      <xdr:row>6</xdr:row>
      <xdr:rowOff>153132</xdr:rowOff>
    </xdr:from>
    <xdr:ext cx="4629150" cy="1590675"/>
    <xdr:sp macro="" textlink="">
      <xdr:nvSpPr>
        <xdr:cNvPr id="3" name="Shape 14">
          <a:extLst>
            <a:ext uri="{FF2B5EF4-FFF2-40B4-BE49-F238E27FC236}">
              <a16:creationId xmlns:a16="http://schemas.microsoft.com/office/drawing/2014/main" id="{D67AD616-11CB-4226-ACB3-BA8DDDFA6E4F}"/>
            </a:ext>
          </a:extLst>
        </xdr:cNvPr>
        <xdr:cNvSpPr/>
      </xdr:nvSpPr>
      <xdr:spPr>
        <a:xfrm>
          <a:off x="5758229" y="1186228"/>
          <a:ext cx="4629150" cy="15906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Neste Exercício iremos calcular o total das Compras.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1. Calcule o total de cada item: Quantidade X Valor Unitário;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2. Calcule o Total Geral da Compra </a:t>
          </a:r>
          <a:r>
            <a:rPr lang="en-US" sz="1000" b="1" i="0" u="none" strike="noStrike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COM</a:t>
          </a: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o Item Sucos;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3. Calcule o Total Geral da Compra </a:t>
          </a:r>
          <a:r>
            <a:rPr lang="en-US" sz="1000" b="1" i="0" u="none" strike="noStrike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SEM</a:t>
          </a: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o Item Sucos;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4. Calcule a diferença entre os dois resultados;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5. Mescle e Centralize conforme o modelo;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6. Aplique a cor da fonte vermelha nos totais;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7. Utilize duas casas decimais após a virgula em toda a planilha.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b="1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b="1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1"/>
  <sheetViews>
    <sheetView tabSelected="1" zoomScale="130" zoomScaleNormal="130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J6" sqref="J6"/>
    </sheetView>
  </sheetViews>
  <sheetFormatPr defaultColWidth="12.5703125" defaultRowHeight="15" customHeight="1" x14ac:dyDescent="0.2"/>
  <cols>
    <col min="1" max="1" width="5" style="31" customWidth="1"/>
    <col min="2" max="2" width="14" style="31" customWidth="1"/>
    <col min="3" max="3" width="10.85546875" style="31" customWidth="1"/>
    <col min="4" max="5" width="8" style="31" customWidth="1"/>
    <col min="6" max="6" width="13.7109375" style="31" customWidth="1"/>
    <col min="7" max="7" width="12" style="31" customWidth="1"/>
    <col min="8" max="8" width="15.85546875" style="31" customWidth="1"/>
    <col min="9" max="26" width="8" style="31" customWidth="1"/>
    <col min="27" max="16384" width="12.5703125" style="31"/>
  </cols>
  <sheetData>
    <row r="1" spans="1:9" ht="12.75" customHeight="1" x14ac:dyDescent="0.2">
      <c r="A1" s="54" t="s">
        <v>41</v>
      </c>
      <c r="B1" s="55"/>
      <c r="C1" s="55"/>
      <c r="D1" s="55"/>
      <c r="E1" s="55"/>
      <c r="F1" s="55"/>
      <c r="G1" s="56"/>
      <c r="H1" s="88" t="s">
        <v>91</v>
      </c>
      <c r="I1" s="88" t="s">
        <v>92</v>
      </c>
    </row>
    <row r="2" spans="1:9" ht="18" customHeight="1" x14ac:dyDescent="0.2">
      <c r="A2" s="57"/>
      <c r="B2" s="58"/>
      <c r="C2" s="58"/>
      <c r="D2" s="58"/>
      <c r="E2" s="58"/>
      <c r="F2" s="58"/>
      <c r="G2" s="59"/>
      <c r="H2" s="96" t="s">
        <v>50</v>
      </c>
      <c r="I2" s="99">
        <f>SUMIF(C$5:C$26,H2,G$5:G$26)</f>
        <v>71.528500000000008</v>
      </c>
    </row>
    <row r="3" spans="1:9" ht="12.75" customHeight="1" x14ac:dyDescent="0.2">
      <c r="A3" s="60"/>
      <c r="B3" s="61"/>
      <c r="C3" s="61"/>
      <c r="D3" s="61"/>
      <c r="E3" s="61"/>
      <c r="F3" s="61"/>
      <c r="G3" s="62"/>
    </row>
    <row r="4" spans="1:9" ht="12.75" customHeight="1" x14ac:dyDescent="0.2">
      <c r="A4" s="32" t="s">
        <v>42</v>
      </c>
      <c r="B4" s="32" t="s">
        <v>43</v>
      </c>
      <c r="C4" s="32" t="s">
        <v>44</v>
      </c>
      <c r="D4" s="33" t="s">
        <v>45</v>
      </c>
      <c r="E4" s="32" t="s">
        <v>46</v>
      </c>
      <c r="F4" s="32" t="s">
        <v>47</v>
      </c>
      <c r="G4" s="32" t="s">
        <v>48</v>
      </c>
    </row>
    <row r="5" spans="1:9" ht="12.75" customHeight="1" x14ac:dyDescent="0.2">
      <c r="A5" s="90">
        <v>2</v>
      </c>
      <c r="B5" s="89" t="s">
        <v>49</v>
      </c>
      <c r="C5" s="50" t="s">
        <v>50</v>
      </c>
      <c r="D5" s="93">
        <v>3</v>
      </c>
      <c r="E5" s="94" t="s">
        <v>51</v>
      </c>
      <c r="F5" s="95">
        <v>0.8</v>
      </c>
      <c r="G5" s="91">
        <f t="shared" ref="G5:G26" si="0">D5*F5</f>
        <v>2.4000000000000004</v>
      </c>
    </row>
    <row r="6" spans="1:9" ht="12.75" customHeight="1" x14ac:dyDescent="0.2">
      <c r="A6" s="90">
        <v>3</v>
      </c>
      <c r="B6" s="89" t="s">
        <v>52</v>
      </c>
      <c r="C6" s="50" t="s">
        <v>50</v>
      </c>
      <c r="D6" s="93">
        <v>3</v>
      </c>
      <c r="E6" s="94" t="s">
        <v>53</v>
      </c>
      <c r="F6" s="95">
        <v>0.95</v>
      </c>
      <c r="G6" s="91">
        <f t="shared" si="0"/>
        <v>2.8499999999999996</v>
      </c>
    </row>
    <row r="7" spans="1:9" ht="12.75" customHeight="1" x14ac:dyDescent="0.2">
      <c r="A7" s="90">
        <v>4</v>
      </c>
      <c r="B7" s="89" t="s">
        <v>54</v>
      </c>
      <c r="C7" s="50" t="s">
        <v>50</v>
      </c>
      <c r="D7" s="93">
        <v>1</v>
      </c>
      <c r="E7" s="94" t="s">
        <v>55</v>
      </c>
      <c r="F7" s="95">
        <v>1.5</v>
      </c>
      <c r="G7" s="91">
        <f t="shared" si="0"/>
        <v>1.5</v>
      </c>
    </row>
    <row r="8" spans="1:9" ht="12.75" customHeight="1" x14ac:dyDescent="0.2">
      <c r="A8" s="90">
        <v>5</v>
      </c>
      <c r="B8" s="89" t="s">
        <v>56</v>
      </c>
      <c r="C8" s="50" t="s">
        <v>50</v>
      </c>
      <c r="D8" s="93">
        <v>2</v>
      </c>
      <c r="E8" s="94" t="s">
        <v>57</v>
      </c>
      <c r="F8" s="95">
        <v>7.59</v>
      </c>
      <c r="G8" s="91">
        <f t="shared" si="0"/>
        <v>15.18</v>
      </c>
    </row>
    <row r="9" spans="1:9" ht="12.75" customHeight="1" x14ac:dyDescent="0.2">
      <c r="A9" s="90">
        <v>8</v>
      </c>
      <c r="B9" s="89" t="s">
        <v>58</v>
      </c>
      <c r="C9" s="50" t="s">
        <v>50</v>
      </c>
      <c r="D9" s="93">
        <v>3</v>
      </c>
      <c r="E9" s="94" t="s">
        <v>53</v>
      </c>
      <c r="F9" s="95">
        <v>3.58</v>
      </c>
      <c r="G9" s="91">
        <f t="shared" si="0"/>
        <v>10.74</v>
      </c>
    </row>
    <row r="10" spans="1:9" ht="12.75" customHeight="1" x14ac:dyDescent="0.2">
      <c r="A10" s="90">
        <v>11</v>
      </c>
      <c r="B10" s="89" t="s">
        <v>59</v>
      </c>
      <c r="C10" s="50" t="s">
        <v>50</v>
      </c>
      <c r="D10" s="93">
        <v>3.69</v>
      </c>
      <c r="E10" s="94" t="s">
        <v>53</v>
      </c>
      <c r="F10" s="95">
        <v>2.0499999999999998</v>
      </c>
      <c r="G10" s="91">
        <f t="shared" si="0"/>
        <v>7.5644999999999989</v>
      </c>
    </row>
    <row r="11" spans="1:9" ht="12.75" customHeight="1" x14ac:dyDescent="0.2">
      <c r="A11" s="90">
        <v>13</v>
      </c>
      <c r="B11" s="89" t="s">
        <v>60</v>
      </c>
      <c r="C11" s="50" t="s">
        <v>50</v>
      </c>
      <c r="D11" s="93">
        <v>2</v>
      </c>
      <c r="E11" s="94" t="s">
        <v>61</v>
      </c>
      <c r="F11" s="95">
        <v>3.85</v>
      </c>
      <c r="G11" s="91">
        <f t="shared" si="0"/>
        <v>7.7</v>
      </c>
    </row>
    <row r="12" spans="1:9" ht="12.75" customHeight="1" x14ac:dyDescent="0.2">
      <c r="A12" s="90">
        <v>14</v>
      </c>
      <c r="B12" s="89" t="s">
        <v>62</v>
      </c>
      <c r="C12" s="50" t="s">
        <v>50</v>
      </c>
      <c r="D12" s="93">
        <v>2</v>
      </c>
      <c r="E12" s="94" t="s">
        <v>53</v>
      </c>
      <c r="F12" s="95">
        <v>1.28</v>
      </c>
      <c r="G12" s="91">
        <f t="shared" si="0"/>
        <v>2.56</v>
      </c>
    </row>
    <row r="13" spans="1:9" ht="12.75" customHeight="1" x14ac:dyDescent="0.2">
      <c r="A13" s="90">
        <v>16</v>
      </c>
      <c r="B13" s="89" t="s">
        <v>63</v>
      </c>
      <c r="C13" s="50" t="s">
        <v>50</v>
      </c>
      <c r="D13" s="93">
        <v>2.6</v>
      </c>
      <c r="E13" s="94" t="s">
        <v>53</v>
      </c>
      <c r="F13" s="95">
        <v>4.79</v>
      </c>
      <c r="G13" s="91">
        <f t="shared" si="0"/>
        <v>12.454000000000001</v>
      </c>
    </row>
    <row r="14" spans="1:9" ht="12.75" customHeight="1" x14ac:dyDescent="0.2">
      <c r="A14" s="90">
        <v>19</v>
      </c>
      <c r="B14" s="89" t="s">
        <v>64</v>
      </c>
      <c r="C14" s="50" t="s">
        <v>50</v>
      </c>
      <c r="D14" s="93">
        <v>6</v>
      </c>
      <c r="E14" s="94" t="s">
        <v>51</v>
      </c>
      <c r="F14" s="95">
        <v>1.43</v>
      </c>
      <c r="G14" s="91">
        <f t="shared" si="0"/>
        <v>8.58</v>
      </c>
      <c r="H14" s="34"/>
    </row>
    <row r="15" spans="1:9" ht="12.75" customHeight="1" x14ac:dyDescent="0.2">
      <c r="A15" s="90">
        <v>12</v>
      </c>
      <c r="B15" s="89" t="s">
        <v>65</v>
      </c>
      <c r="C15" s="50" t="s">
        <v>66</v>
      </c>
      <c r="D15" s="93">
        <v>6</v>
      </c>
      <c r="E15" s="94" t="s">
        <v>8</v>
      </c>
      <c r="F15" s="95">
        <v>1.26</v>
      </c>
      <c r="G15" s="91">
        <f t="shared" si="0"/>
        <v>7.5600000000000005</v>
      </c>
    </row>
    <row r="16" spans="1:9" ht="12.75" customHeight="1" x14ac:dyDescent="0.2">
      <c r="A16" s="90">
        <v>15</v>
      </c>
      <c r="B16" s="89" t="s">
        <v>67</v>
      </c>
      <c r="C16" s="50" t="s">
        <v>66</v>
      </c>
      <c r="D16" s="93">
        <v>24</v>
      </c>
      <c r="E16" s="94" t="s">
        <v>68</v>
      </c>
      <c r="F16" s="95">
        <v>1.0900000000000001</v>
      </c>
      <c r="G16" s="91">
        <f t="shared" si="0"/>
        <v>26.160000000000004</v>
      </c>
    </row>
    <row r="17" spans="1:8" ht="12.75" customHeight="1" x14ac:dyDescent="0.2">
      <c r="A17" s="90">
        <v>20</v>
      </c>
      <c r="B17" s="89" t="s">
        <v>69</v>
      </c>
      <c r="C17" s="50" t="s">
        <v>66</v>
      </c>
      <c r="D17" s="93">
        <v>8</v>
      </c>
      <c r="E17" s="94" t="s">
        <v>51</v>
      </c>
      <c r="F17" s="95">
        <v>0.62</v>
      </c>
      <c r="G17" s="91">
        <f t="shared" si="0"/>
        <v>4.96</v>
      </c>
    </row>
    <row r="18" spans="1:8" ht="12.75" customHeight="1" x14ac:dyDescent="0.2">
      <c r="A18" s="90">
        <v>22</v>
      </c>
      <c r="B18" s="89" t="s">
        <v>70</v>
      </c>
      <c r="C18" s="50" t="s">
        <v>71</v>
      </c>
      <c r="D18" s="93">
        <v>3.56</v>
      </c>
      <c r="E18" s="94" t="s">
        <v>53</v>
      </c>
      <c r="F18" s="95">
        <v>0.98</v>
      </c>
      <c r="G18" s="91">
        <f t="shared" si="0"/>
        <v>3.4887999999999999</v>
      </c>
    </row>
    <row r="19" spans="1:8" ht="12.75" customHeight="1" x14ac:dyDescent="0.2">
      <c r="A19" s="90">
        <v>1</v>
      </c>
      <c r="B19" s="89" t="s">
        <v>72</v>
      </c>
      <c r="C19" s="50" t="s">
        <v>73</v>
      </c>
      <c r="D19" s="93">
        <v>1</v>
      </c>
      <c r="E19" s="94" t="s">
        <v>74</v>
      </c>
      <c r="F19" s="95">
        <v>1.5</v>
      </c>
      <c r="G19" s="91">
        <f t="shared" si="0"/>
        <v>1.5</v>
      </c>
    </row>
    <row r="20" spans="1:8" ht="12.75" customHeight="1" x14ac:dyDescent="0.2">
      <c r="A20" s="90">
        <v>6</v>
      </c>
      <c r="B20" s="89" t="s">
        <v>75</v>
      </c>
      <c r="C20" s="50" t="s">
        <v>73</v>
      </c>
      <c r="D20" s="93">
        <v>2</v>
      </c>
      <c r="E20" s="94" t="s">
        <v>8</v>
      </c>
      <c r="F20" s="95">
        <v>4.5199999999999996</v>
      </c>
      <c r="G20" s="91">
        <f t="shared" si="0"/>
        <v>9.0399999999999991</v>
      </c>
    </row>
    <row r="21" spans="1:8" ht="12.75" customHeight="1" x14ac:dyDescent="0.2">
      <c r="A21" s="90">
        <v>7</v>
      </c>
      <c r="B21" s="89" t="s">
        <v>76</v>
      </c>
      <c r="C21" s="50" t="s">
        <v>73</v>
      </c>
      <c r="D21" s="93">
        <v>4</v>
      </c>
      <c r="E21" s="94" t="s">
        <v>77</v>
      </c>
      <c r="F21" s="95">
        <v>0.75</v>
      </c>
      <c r="G21" s="91">
        <f t="shared" si="0"/>
        <v>3</v>
      </c>
    </row>
    <row r="22" spans="1:8" ht="12.75" customHeight="1" x14ac:dyDescent="0.2">
      <c r="A22" s="90">
        <v>9</v>
      </c>
      <c r="B22" s="89" t="s">
        <v>78</v>
      </c>
      <c r="C22" s="50" t="s">
        <v>73</v>
      </c>
      <c r="D22" s="93">
        <v>8</v>
      </c>
      <c r="E22" s="94" t="s">
        <v>79</v>
      </c>
      <c r="F22" s="95">
        <v>0.69</v>
      </c>
      <c r="G22" s="91">
        <f t="shared" si="0"/>
        <v>5.52</v>
      </c>
    </row>
    <row r="23" spans="1:8" ht="12.75" customHeight="1" x14ac:dyDescent="0.2">
      <c r="A23" s="90">
        <v>10</v>
      </c>
      <c r="B23" s="89" t="s">
        <v>80</v>
      </c>
      <c r="C23" s="50" t="s">
        <v>73</v>
      </c>
      <c r="D23" s="93">
        <v>4</v>
      </c>
      <c r="E23" s="94" t="s">
        <v>81</v>
      </c>
      <c r="F23" s="95">
        <v>0.74</v>
      </c>
      <c r="G23" s="91">
        <f t="shared" si="0"/>
        <v>2.96</v>
      </c>
    </row>
    <row r="24" spans="1:8" ht="12.75" customHeight="1" x14ac:dyDescent="0.2">
      <c r="A24" s="90">
        <v>21</v>
      </c>
      <c r="B24" s="89" t="s">
        <v>82</v>
      </c>
      <c r="C24" s="50" t="s">
        <v>73</v>
      </c>
      <c r="D24" s="93">
        <v>1</v>
      </c>
      <c r="E24" s="94" t="s">
        <v>57</v>
      </c>
      <c r="F24" s="95">
        <v>4.68</v>
      </c>
      <c r="G24" s="91">
        <f t="shared" si="0"/>
        <v>4.68</v>
      </c>
    </row>
    <row r="25" spans="1:8" ht="12.75" customHeight="1" x14ac:dyDescent="0.2">
      <c r="A25" s="90">
        <v>17</v>
      </c>
      <c r="B25" s="89" t="s">
        <v>83</v>
      </c>
      <c r="C25" s="50" t="s">
        <v>84</v>
      </c>
      <c r="D25" s="93">
        <v>1.35</v>
      </c>
      <c r="E25" s="94" t="s">
        <v>53</v>
      </c>
      <c r="F25" s="95">
        <v>0.79</v>
      </c>
      <c r="G25" s="91">
        <f t="shared" si="0"/>
        <v>1.0665000000000002</v>
      </c>
    </row>
    <row r="26" spans="1:8" ht="12.75" customHeight="1" x14ac:dyDescent="0.2">
      <c r="A26" s="90">
        <v>18</v>
      </c>
      <c r="B26" s="89" t="s">
        <v>85</v>
      </c>
      <c r="C26" s="50" t="s">
        <v>84</v>
      </c>
      <c r="D26" s="93">
        <v>1.1599999999999999</v>
      </c>
      <c r="E26" s="94" t="s">
        <v>53</v>
      </c>
      <c r="F26" s="95">
        <v>0.67</v>
      </c>
      <c r="G26" s="91">
        <f t="shared" si="0"/>
        <v>0.7772</v>
      </c>
    </row>
    <row r="27" spans="1:8" ht="12.75" customHeight="1" x14ac:dyDescent="0.2">
      <c r="A27" s="63" t="s">
        <v>86</v>
      </c>
      <c r="B27" s="64"/>
      <c r="C27" s="35"/>
      <c r="D27" s="39">
        <f>SUM(D5:D26)</f>
        <v>92.359999999999985</v>
      </c>
      <c r="E27" s="35"/>
      <c r="F27" s="38">
        <f>SUM(F5:F26)</f>
        <v>46.110000000000007</v>
      </c>
      <c r="G27" s="91">
        <f>SUM(G5:G26)</f>
        <v>142.24100000000001</v>
      </c>
    </row>
    <row r="28" spans="1:8" ht="12.75" customHeight="1" x14ac:dyDescent="0.2">
      <c r="A28" s="63" t="s">
        <v>87</v>
      </c>
      <c r="B28" s="64"/>
      <c r="C28" s="35"/>
      <c r="D28" s="39">
        <f>SUM(D5:D26, -D17)</f>
        <v>84.359999999999985</v>
      </c>
      <c r="E28" s="35"/>
      <c r="F28" s="38">
        <f>SUM(F5:F26, -F17)</f>
        <v>45.490000000000009</v>
      </c>
      <c r="G28" s="91">
        <f>SUM(G5:G26, -G17)</f>
        <v>137.28100000000001</v>
      </c>
    </row>
    <row r="29" spans="1:8" ht="12.75" customHeight="1" x14ac:dyDescent="0.2">
      <c r="A29" s="65" t="s">
        <v>88</v>
      </c>
      <c r="B29" s="56"/>
      <c r="C29" s="43"/>
      <c r="D29" s="44">
        <f>D27-D28</f>
        <v>8</v>
      </c>
      <c r="E29" s="43"/>
      <c r="F29" s="45">
        <f>F27-F28</f>
        <v>0.61999999999999744</v>
      </c>
      <c r="G29" s="92">
        <f>G27-G28</f>
        <v>4.960000000000008</v>
      </c>
    </row>
    <row r="30" spans="1:8" ht="12.75" customHeight="1" x14ac:dyDescent="0.2">
      <c r="A30" s="97" t="s">
        <v>89</v>
      </c>
      <c r="B30" s="98"/>
      <c r="C30" s="98"/>
      <c r="D30" s="98"/>
      <c r="E30" s="98"/>
      <c r="F30" s="98"/>
      <c r="G30" s="98"/>
    </row>
    <row r="31" spans="1:8" ht="12.75" customHeight="1" x14ac:dyDescent="0.2">
      <c r="A31" s="66" t="s">
        <v>90</v>
      </c>
      <c r="B31" s="67"/>
      <c r="C31" s="51" t="s">
        <v>50</v>
      </c>
      <c r="D31" s="46">
        <f>SUMIF(C$5:C$26,C31,D$5:D$26)</f>
        <v>28.29</v>
      </c>
      <c r="E31" s="47"/>
      <c r="F31" s="48">
        <f>SUMIF(C$5:C$26,C31,F$5:F$26)</f>
        <v>27.82</v>
      </c>
      <c r="G31" s="49">
        <f>SUMIF(C$5:C$26,C31,G$5:G$26)</f>
        <v>71.528500000000008</v>
      </c>
      <c r="H31" s="31" t="s">
        <v>93</v>
      </c>
    </row>
    <row r="32" spans="1:8" ht="12.75" customHeight="1" x14ac:dyDescent="0.2">
      <c r="A32" s="52" t="s">
        <v>90</v>
      </c>
      <c r="B32" s="53"/>
      <c r="C32" s="50" t="s">
        <v>66</v>
      </c>
      <c r="D32" s="39">
        <f t="shared" ref="D32:D35" si="1">SUMIF(C$5:C$26,C32,D$5:D$26)</f>
        <v>38</v>
      </c>
      <c r="E32" s="35"/>
      <c r="F32" s="38">
        <f t="shared" ref="F32:F35" si="2">SUMIF(C$5:C$26,C32,F$5:F$26)</f>
        <v>2.97</v>
      </c>
      <c r="G32" s="37">
        <f t="shared" ref="G32:G35" si="3">SUMIF(C$5:C$26,C32,G$5:G$26)</f>
        <v>38.680000000000007</v>
      </c>
      <c r="H32" s="31" t="s">
        <v>94</v>
      </c>
    </row>
    <row r="33" spans="1:8" ht="12.75" customHeight="1" x14ac:dyDescent="0.2">
      <c r="A33" s="52" t="s">
        <v>90</v>
      </c>
      <c r="B33" s="68"/>
      <c r="C33" s="50" t="s">
        <v>71</v>
      </c>
      <c r="D33" s="39">
        <f t="shared" si="1"/>
        <v>3.56</v>
      </c>
      <c r="E33" s="36"/>
      <c r="F33" s="38">
        <f t="shared" si="2"/>
        <v>0.98</v>
      </c>
      <c r="G33" s="37">
        <f t="shared" si="3"/>
        <v>3.4887999999999999</v>
      </c>
      <c r="H33" s="42" t="s">
        <v>95</v>
      </c>
    </row>
    <row r="34" spans="1:8" ht="12.75" customHeight="1" x14ac:dyDescent="0.2">
      <c r="A34" s="52" t="s">
        <v>90</v>
      </c>
      <c r="B34" s="53"/>
      <c r="C34" s="50" t="s">
        <v>73</v>
      </c>
      <c r="D34" s="39">
        <f t="shared" si="1"/>
        <v>20</v>
      </c>
      <c r="E34" s="36"/>
      <c r="F34" s="38">
        <f t="shared" si="2"/>
        <v>12.879999999999999</v>
      </c>
      <c r="G34" s="37">
        <f t="shared" si="3"/>
        <v>26.7</v>
      </c>
      <c r="H34" s="42" t="s">
        <v>96</v>
      </c>
    </row>
    <row r="35" spans="1:8" ht="12.75" customHeight="1" x14ac:dyDescent="0.2">
      <c r="A35" s="52" t="s">
        <v>90</v>
      </c>
      <c r="B35" s="53"/>
      <c r="C35" s="50" t="s">
        <v>84</v>
      </c>
      <c r="D35" s="39">
        <f t="shared" si="1"/>
        <v>2.5099999999999998</v>
      </c>
      <c r="E35" s="36"/>
      <c r="F35" s="38">
        <f t="shared" si="2"/>
        <v>1.46</v>
      </c>
      <c r="G35" s="37">
        <f t="shared" si="3"/>
        <v>1.8437000000000001</v>
      </c>
      <c r="H35" s="42" t="s">
        <v>97</v>
      </c>
    </row>
    <row r="36" spans="1:8" ht="12.75" customHeight="1" x14ac:dyDescent="0.2"/>
    <row r="37" spans="1:8" ht="12.75" customHeight="1" x14ac:dyDescent="0.2"/>
    <row r="38" spans="1:8" ht="12.75" customHeight="1" x14ac:dyDescent="0.2"/>
    <row r="39" spans="1:8" ht="12.75" customHeight="1" x14ac:dyDescent="0.2"/>
    <row r="40" spans="1:8" ht="12.75" customHeight="1" x14ac:dyDescent="0.2"/>
    <row r="41" spans="1:8" ht="12.75" customHeight="1" x14ac:dyDescent="0.2"/>
    <row r="42" spans="1:8" ht="12.75" customHeight="1" x14ac:dyDescent="0.2"/>
    <row r="43" spans="1:8" ht="12.75" customHeight="1" x14ac:dyDescent="0.2"/>
    <row r="44" spans="1:8" ht="12.75" customHeight="1" x14ac:dyDescent="0.2"/>
    <row r="45" spans="1:8" ht="12.75" customHeight="1" x14ac:dyDescent="0.2"/>
    <row r="46" spans="1:8" ht="12.75" customHeight="1" x14ac:dyDescent="0.2"/>
    <row r="47" spans="1:8" ht="12.75" customHeight="1" x14ac:dyDescent="0.2"/>
    <row r="48" spans="1:8" ht="12.75" customHeight="1" x14ac:dyDescent="0.2"/>
    <row r="49" s="31" customFormat="1" ht="12.75" customHeight="1" x14ac:dyDescent="0.2"/>
    <row r="50" s="31" customFormat="1" ht="12.75" customHeight="1" x14ac:dyDescent="0.2"/>
    <row r="51" s="31" customFormat="1" ht="12.75" customHeight="1" x14ac:dyDescent="0.2"/>
    <row r="52" s="31" customFormat="1" ht="12.75" customHeight="1" x14ac:dyDescent="0.2"/>
    <row r="53" s="31" customFormat="1" ht="12.75" customHeight="1" x14ac:dyDescent="0.2"/>
    <row r="54" s="31" customFormat="1" ht="12.75" customHeight="1" x14ac:dyDescent="0.2"/>
    <row r="55" s="31" customFormat="1" ht="12.75" customHeight="1" x14ac:dyDescent="0.2"/>
    <row r="56" s="31" customFormat="1" ht="12.75" customHeight="1" x14ac:dyDescent="0.2"/>
    <row r="57" s="31" customFormat="1" ht="12.75" customHeight="1" x14ac:dyDescent="0.2"/>
    <row r="58" s="31" customFormat="1" ht="12.75" customHeight="1" x14ac:dyDescent="0.2"/>
    <row r="59" s="31" customFormat="1" ht="12.75" customHeight="1" x14ac:dyDescent="0.2"/>
    <row r="60" s="31" customFormat="1" ht="12.75" customHeight="1" x14ac:dyDescent="0.2"/>
    <row r="61" s="31" customFormat="1" ht="12.75" customHeight="1" x14ac:dyDescent="0.2"/>
    <row r="62" s="31" customFormat="1" ht="12.75" customHeight="1" x14ac:dyDescent="0.2"/>
    <row r="63" s="31" customFormat="1" ht="12.75" customHeight="1" x14ac:dyDescent="0.2"/>
    <row r="64" s="31" customFormat="1" ht="12.75" customHeight="1" x14ac:dyDescent="0.2"/>
    <row r="65" s="31" customFormat="1" ht="12.75" customHeight="1" x14ac:dyDescent="0.2"/>
    <row r="66" s="31" customFormat="1" ht="12.75" customHeight="1" x14ac:dyDescent="0.2"/>
    <row r="67" s="31" customFormat="1" ht="12.75" customHeight="1" x14ac:dyDescent="0.2"/>
    <row r="68" s="31" customFormat="1" ht="12.75" customHeight="1" x14ac:dyDescent="0.2"/>
    <row r="69" s="31" customFormat="1" ht="12.75" customHeight="1" x14ac:dyDescent="0.2"/>
    <row r="70" s="31" customFormat="1" ht="12.75" customHeight="1" x14ac:dyDescent="0.2"/>
    <row r="71" s="31" customFormat="1" ht="12.75" customHeight="1" x14ac:dyDescent="0.2"/>
    <row r="72" s="31" customFormat="1" ht="12.75" customHeight="1" x14ac:dyDescent="0.2"/>
    <row r="73" s="31" customFormat="1" ht="12.75" customHeight="1" x14ac:dyDescent="0.2"/>
    <row r="74" s="31" customFormat="1" ht="12.75" customHeight="1" x14ac:dyDescent="0.2"/>
    <row r="75" s="31" customFormat="1" ht="12.75" customHeight="1" x14ac:dyDescent="0.2"/>
    <row r="76" s="31" customFormat="1" ht="12.75" customHeight="1" x14ac:dyDescent="0.2"/>
    <row r="77" s="31" customFormat="1" ht="12.75" customHeight="1" x14ac:dyDescent="0.2"/>
    <row r="78" s="31" customFormat="1" ht="12.75" customHeight="1" x14ac:dyDescent="0.2"/>
    <row r="79" s="31" customFormat="1" ht="12.75" customHeight="1" x14ac:dyDescent="0.2"/>
    <row r="80" s="31" customFormat="1" ht="12.75" customHeight="1" x14ac:dyDescent="0.2"/>
    <row r="81" s="31" customFormat="1" ht="12.75" customHeight="1" x14ac:dyDescent="0.2"/>
    <row r="82" s="31" customFormat="1" ht="12.75" customHeight="1" x14ac:dyDescent="0.2"/>
    <row r="83" s="31" customFormat="1" ht="12.75" customHeight="1" x14ac:dyDescent="0.2"/>
    <row r="84" s="31" customFormat="1" ht="12.75" customHeight="1" x14ac:dyDescent="0.2"/>
    <row r="85" s="31" customFormat="1" ht="12.75" customHeight="1" x14ac:dyDescent="0.2"/>
    <row r="86" s="31" customFormat="1" ht="12.75" customHeight="1" x14ac:dyDescent="0.2"/>
    <row r="87" s="31" customFormat="1" ht="12.75" customHeight="1" x14ac:dyDescent="0.2"/>
    <row r="88" s="31" customFormat="1" ht="12.75" customHeight="1" x14ac:dyDescent="0.2"/>
    <row r="89" s="31" customFormat="1" ht="12.75" customHeight="1" x14ac:dyDescent="0.2"/>
    <row r="90" s="31" customFormat="1" ht="12.75" customHeight="1" x14ac:dyDescent="0.2"/>
    <row r="91" s="31" customFormat="1" ht="12.75" customHeight="1" x14ac:dyDescent="0.2"/>
    <row r="92" s="31" customFormat="1" ht="12.75" customHeight="1" x14ac:dyDescent="0.2"/>
    <row r="93" s="31" customFormat="1" ht="12.75" customHeight="1" x14ac:dyDescent="0.2"/>
    <row r="94" s="31" customFormat="1" ht="12.75" customHeight="1" x14ac:dyDescent="0.2"/>
    <row r="95" s="31" customFormat="1" ht="12.75" customHeight="1" x14ac:dyDescent="0.2"/>
    <row r="96" s="31" customFormat="1" ht="12.75" customHeight="1" x14ac:dyDescent="0.2"/>
    <row r="97" s="31" customFormat="1" ht="12.75" customHeight="1" x14ac:dyDescent="0.2"/>
    <row r="98" s="31" customFormat="1" ht="12.75" customHeight="1" x14ac:dyDescent="0.2"/>
    <row r="99" s="31" customFormat="1" ht="12.75" customHeight="1" x14ac:dyDescent="0.2"/>
    <row r="100" s="31" customFormat="1" ht="12.75" customHeight="1" x14ac:dyDescent="0.2"/>
    <row r="101" s="31" customFormat="1" ht="12.75" customHeight="1" x14ac:dyDescent="0.2"/>
    <row r="102" s="31" customFormat="1" ht="12.75" customHeight="1" x14ac:dyDescent="0.2"/>
    <row r="103" s="31" customFormat="1" ht="12.75" customHeight="1" x14ac:dyDescent="0.2"/>
    <row r="104" s="31" customFormat="1" ht="12.75" customHeight="1" x14ac:dyDescent="0.2"/>
    <row r="105" s="31" customFormat="1" ht="12.75" customHeight="1" x14ac:dyDescent="0.2"/>
    <row r="106" s="31" customFormat="1" ht="12.75" customHeight="1" x14ac:dyDescent="0.2"/>
    <row r="107" s="31" customFormat="1" ht="12.75" customHeight="1" x14ac:dyDescent="0.2"/>
    <row r="108" s="31" customFormat="1" ht="12.75" customHeight="1" x14ac:dyDescent="0.2"/>
    <row r="109" s="31" customFormat="1" ht="12.75" customHeight="1" x14ac:dyDescent="0.2"/>
    <row r="110" s="31" customFormat="1" ht="12.75" customHeight="1" x14ac:dyDescent="0.2"/>
    <row r="111" s="31" customFormat="1" ht="12.75" customHeight="1" x14ac:dyDescent="0.2"/>
    <row r="112" s="31" customFormat="1" ht="12.75" customHeight="1" x14ac:dyDescent="0.2"/>
    <row r="113" s="31" customFormat="1" ht="12.75" customHeight="1" x14ac:dyDescent="0.2"/>
    <row r="114" s="31" customFormat="1" ht="12.75" customHeight="1" x14ac:dyDescent="0.2"/>
    <row r="115" s="31" customFormat="1" ht="12.75" customHeight="1" x14ac:dyDescent="0.2"/>
    <row r="116" s="31" customFormat="1" ht="12.75" customHeight="1" x14ac:dyDescent="0.2"/>
    <row r="117" s="31" customFormat="1" ht="12.75" customHeight="1" x14ac:dyDescent="0.2"/>
    <row r="118" s="31" customFormat="1" ht="12.75" customHeight="1" x14ac:dyDescent="0.2"/>
    <row r="119" s="31" customFormat="1" ht="12.75" customHeight="1" x14ac:dyDescent="0.2"/>
    <row r="120" s="31" customFormat="1" ht="12.75" customHeight="1" x14ac:dyDescent="0.2"/>
    <row r="121" s="31" customFormat="1" ht="12.75" customHeight="1" x14ac:dyDescent="0.2"/>
    <row r="122" s="31" customFormat="1" ht="12.75" customHeight="1" x14ac:dyDescent="0.2"/>
    <row r="123" s="31" customFormat="1" ht="12.75" customHeight="1" x14ac:dyDescent="0.2"/>
    <row r="124" s="31" customFormat="1" ht="12.75" customHeight="1" x14ac:dyDescent="0.2"/>
    <row r="125" s="31" customFormat="1" ht="12.75" customHeight="1" x14ac:dyDescent="0.2"/>
    <row r="126" s="31" customFormat="1" ht="12.75" customHeight="1" x14ac:dyDescent="0.2"/>
    <row r="127" s="31" customFormat="1" ht="12.75" customHeight="1" x14ac:dyDescent="0.2"/>
    <row r="128" s="31" customFormat="1" ht="12.75" customHeight="1" x14ac:dyDescent="0.2"/>
    <row r="129" s="31" customFormat="1" ht="12.75" customHeight="1" x14ac:dyDescent="0.2"/>
    <row r="130" s="31" customFormat="1" ht="12.75" customHeight="1" x14ac:dyDescent="0.2"/>
    <row r="131" s="31" customFormat="1" ht="12.75" customHeight="1" x14ac:dyDescent="0.2"/>
    <row r="132" s="31" customFormat="1" ht="12.75" customHeight="1" x14ac:dyDescent="0.2"/>
    <row r="133" s="31" customFormat="1" ht="12.75" customHeight="1" x14ac:dyDescent="0.2"/>
    <row r="134" s="31" customFormat="1" ht="12.75" customHeight="1" x14ac:dyDescent="0.2"/>
    <row r="135" s="31" customFormat="1" ht="12.75" customHeight="1" x14ac:dyDescent="0.2"/>
    <row r="136" s="31" customFormat="1" ht="12.75" customHeight="1" x14ac:dyDescent="0.2"/>
    <row r="137" s="31" customFormat="1" ht="12.75" customHeight="1" x14ac:dyDescent="0.2"/>
    <row r="138" s="31" customFormat="1" ht="12.75" customHeight="1" x14ac:dyDescent="0.2"/>
    <row r="139" s="31" customFormat="1" ht="12.75" customHeight="1" x14ac:dyDescent="0.2"/>
    <row r="140" s="31" customFormat="1" ht="12.75" customHeight="1" x14ac:dyDescent="0.2"/>
    <row r="141" s="31" customFormat="1" ht="12.75" customHeight="1" x14ac:dyDescent="0.2"/>
    <row r="142" s="31" customFormat="1" ht="12.75" customHeight="1" x14ac:dyDescent="0.2"/>
    <row r="143" s="31" customFormat="1" ht="12.75" customHeight="1" x14ac:dyDescent="0.2"/>
    <row r="144" s="31" customFormat="1" ht="12.75" customHeight="1" x14ac:dyDescent="0.2"/>
    <row r="145" s="31" customFormat="1" ht="12.75" customHeight="1" x14ac:dyDescent="0.2"/>
    <row r="146" s="31" customFormat="1" ht="12.75" customHeight="1" x14ac:dyDescent="0.2"/>
    <row r="147" s="31" customFormat="1" ht="12.75" customHeight="1" x14ac:dyDescent="0.2"/>
    <row r="148" s="31" customFormat="1" ht="12.75" customHeight="1" x14ac:dyDescent="0.2"/>
    <row r="149" s="31" customFormat="1" ht="12.75" customHeight="1" x14ac:dyDescent="0.2"/>
    <row r="150" s="31" customFormat="1" ht="12.75" customHeight="1" x14ac:dyDescent="0.2"/>
    <row r="151" s="31" customFormat="1" ht="12.75" customHeight="1" x14ac:dyDescent="0.2"/>
    <row r="152" s="31" customFormat="1" ht="12.75" customHeight="1" x14ac:dyDescent="0.2"/>
    <row r="153" s="31" customFormat="1" ht="12.75" customHeight="1" x14ac:dyDescent="0.2"/>
    <row r="154" s="31" customFormat="1" ht="12.75" customHeight="1" x14ac:dyDescent="0.2"/>
    <row r="155" s="31" customFormat="1" ht="12.75" customHeight="1" x14ac:dyDescent="0.2"/>
    <row r="156" s="31" customFormat="1" ht="12.75" customHeight="1" x14ac:dyDescent="0.2"/>
    <row r="157" s="31" customFormat="1" ht="12.75" customHeight="1" x14ac:dyDescent="0.2"/>
    <row r="158" s="31" customFormat="1" ht="12.75" customHeight="1" x14ac:dyDescent="0.2"/>
    <row r="159" s="31" customFormat="1" ht="12.75" customHeight="1" x14ac:dyDescent="0.2"/>
    <row r="160" s="31" customFormat="1" ht="12.75" customHeight="1" x14ac:dyDescent="0.2"/>
    <row r="161" s="31" customFormat="1" ht="12.75" customHeight="1" x14ac:dyDescent="0.2"/>
    <row r="162" s="31" customFormat="1" ht="12.75" customHeight="1" x14ac:dyDescent="0.2"/>
    <row r="163" s="31" customFormat="1" ht="12.75" customHeight="1" x14ac:dyDescent="0.2"/>
    <row r="164" s="31" customFormat="1" ht="12.75" customHeight="1" x14ac:dyDescent="0.2"/>
    <row r="165" s="31" customFormat="1" ht="12.75" customHeight="1" x14ac:dyDescent="0.2"/>
    <row r="166" s="31" customFormat="1" ht="12.75" customHeight="1" x14ac:dyDescent="0.2"/>
    <row r="167" s="31" customFormat="1" ht="12.75" customHeight="1" x14ac:dyDescent="0.2"/>
    <row r="168" s="31" customFormat="1" ht="12.75" customHeight="1" x14ac:dyDescent="0.2"/>
    <row r="169" s="31" customFormat="1" ht="12.75" customHeight="1" x14ac:dyDescent="0.2"/>
    <row r="170" s="31" customFormat="1" ht="12.75" customHeight="1" x14ac:dyDescent="0.2"/>
    <row r="171" s="31" customFormat="1" ht="12.75" customHeight="1" x14ac:dyDescent="0.2"/>
    <row r="172" s="31" customFormat="1" ht="12.75" customHeight="1" x14ac:dyDescent="0.2"/>
    <row r="173" s="31" customFormat="1" ht="12.75" customHeight="1" x14ac:dyDescent="0.2"/>
    <row r="174" s="31" customFormat="1" ht="12.75" customHeight="1" x14ac:dyDescent="0.2"/>
    <row r="175" s="31" customFormat="1" ht="12.75" customHeight="1" x14ac:dyDescent="0.2"/>
    <row r="176" s="31" customFormat="1" ht="12.75" customHeight="1" x14ac:dyDescent="0.2"/>
    <row r="177" s="31" customFormat="1" ht="12.75" customHeight="1" x14ac:dyDescent="0.2"/>
    <row r="178" s="31" customFormat="1" ht="12.75" customHeight="1" x14ac:dyDescent="0.2"/>
    <row r="179" s="31" customFormat="1" ht="12.75" customHeight="1" x14ac:dyDescent="0.2"/>
    <row r="180" s="31" customFormat="1" ht="12.75" customHeight="1" x14ac:dyDescent="0.2"/>
    <row r="181" s="31" customFormat="1" ht="12.75" customHeight="1" x14ac:dyDescent="0.2"/>
    <row r="182" s="31" customFormat="1" ht="12.75" customHeight="1" x14ac:dyDescent="0.2"/>
    <row r="183" s="31" customFormat="1" ht="12.75" customHeight="1" x14ac:dyDescent="0.2"/>
    <row r="184" s="31" customFormat="1" ht="12.75" customHeight="1" x14ac:dyDescent="0.2"/>
    <row r="185" s="31" customFormat="1" ht="12.75" customHeight="1" x14ac:dyDescent="0.2"/>
    <row r="186" s="31" customFormat="1" ht="12.75" customHeight="1" x14ac:dyDescent="0.2"/>
    <row r="187" s="31" customFormat="1" ht="12.75" customHeight="1" x14ac:dyDescent="0.2"/>
    <row r="188" s="31" customFormat="1" ht="12.75" customHeight="1" x14ac:dyDescent="0.2"/>
    <row r="189" s="31" customFormat="1" ht="12.75" customHeight="1" x14ac:dyDescent="0.2"/>
    <row r="190" s="31" customFormat="1" ht="12.75" customHeight="1" x14ac:dyDescent="0.2"/>
    <row r="191" s="31" customFormat="1" ht="12.75" customHeight="1" x14ac:dyDescent="0.2"/>
    <row r="192" s="31" customFormat="1" ht="12.75" customHeight="1" x14ac:dyDescent="0.2"/>
    <row r="193" s="31" customFormat="1" ht="12.75" customHeight="1" x14ac:dyDescent="0.2"/>
    <row r="194" s="31" customFormat="1" ht="12.75" customHeight="1" x14ac:dyDescent="0.2"/>
    <row r="195" s="31" customFormat="1" ht="12.75" customHeight="1" x14ac:dyDescent="0.2"/>
    <row r="196" s="31" customFormat="1" ht="12.75" customHeight="1" x14ac:dyDescent="0.2"/>
    <row r="197" s="31" customFormat="1" ht="12.75" customHeight="1" x14ac:dyDescent="0.2"/>
    <row r="198" s="31" customFormat="1" ht="12.75" customHeight="1" x14ac:dyDescent="0.2"/>
    <row r="199" s="31" customFormat="1" ht="12.75" customHeight="1" x14ac:dyDescent="0.2"/>
    <row r="200" s="31" customFormat="1" ht="12.75" customHeight="1" x14ac:dyDescent="0.2"/>
    <row r="201" s="31" customFormat="1" ht="12.75" customHeight="1" x14ac:dyDescent="0.2"/>
    <row r="202" s="31" customFormat="1" ht="12.75" customHeight="1" x14ac:dyDescent="0.2"/>
    <row r="203" s="31" customFormat="1" ht="12.75" customHeight="1" x14ac:dyDescent="0.2"/>
    <row r="204" s="31" customFormat="1" ht="12.75" customHeight="1" x14ac:dyDescent="0.2"/>
    <row r="205" s="31" customFormat="1" ht="12.75" customHeight="1" x14ac:dyDescent="0.2"/>
    <row r="206" s="31" customFormat="1" ht="12.75" customHeight="1" x14ac:dyDescent="0.2"/>
    <row r="207" s="31" customFormat="1" ht="12.75" customHeight="1" x14ac:dyDescent="0.2"/>
    <row r="208" s="31" customFormat="1" ht="12.75" customHeight="1" x14ac:dyDescent="0.2"/>
    <row r="209" s="31" customFormat="1" ht="12.75" customHeight="1" x14ac:dyDescent="0.2"/>
    <row r="210" s="31" customFormat="1" ht="12.75" customHeight="1" x14ac:dyDescent="0.2"/>
    <row r="211" s="31" customFormat="1" ht="12.75" customHeight="1" x14ac:dyDescent="0.2"/>
    <row r="212" s="31" customFormat="1" ht="12.75" customHeight="1" x14ac:dyDescent="0.2"/>
    <row r="213" s="31" customFormat="1" ht="12.75" customHeight="1" x14ac:dyDescent="0.2"/>
    <row r="214" s="31" customFormat="1" ht="12.75" customHeight="1" x14ac:dyDescent="0.2"/>
    <row r="215" s="31" customFormat="1" ht="12.75" customHeight="1" x14ac:dyDescent="0.2"/>
    <row r="216" s="31" customFormat="1" ht="12.75" customHeight="1" x14ac:dyDescent="0.2"/>
    <row r="217" s="31" customFormat="1" ht="12.75" customHeight="1" x14ac:dyDescent="0.2"/>
    <row r="218" s="31" customFormat="1" ht="12.75" customHeight="1" x14ac:dyDescent="0.2"/>
    <row r="219" s="31" customFormat="1" ht="12.75" customHeight="1" x14ac:dyDescent="0.2"/>
    <row r="220" s="31" customFormat="1" ht="12.75" customHeight="1" x14ac:dyDescent="0.2"/>
    <row r="221" s="31" customFormat="1" ht="12.75" customHeight="1" x14ac:dyDescent="0.2"/>
    <row r="222" s="31" customFormat="1" ht="12.75" customHeight="1" x14ac:dyDescent="0.2"/>
    <row r="223" s="31" customFormat="1" ht="12.75" customHeight="1" x14ac:dyDescent="0.2"/>
    <row r="224" s="31" customFormat="1" ht="12.75" customHeight="1" x14ac:dyDescent="0.2"/>
    <row r="225" s="31" customFormat="1" ht="12.75" customHeight="1" x14ac:dyDescent="0.2"/>
    <row r="226" s="31" customFormat="1" ht="12.75" customHeight="1" x14ac:dyDescent="0.2"/>
    <row r="227" s="31" customFormat="1" ht="12.75" customHeight="1" x14ac:dyDescent="0.2"/>
    <row r="228" s="31" customFormat="1" ht="12.75" customHeight="1" x14ac:dyDescent="0.2"/>
    <row r="229" s="31" customFormat="1" ht="12.75" customHeight="1" x14ac:dyDescent="0.2"/>
    <row r="230" s="31" customFormat="1" ht="12.75" customHeight="1" x14ac:dyDescent="0.2"/>
    <row r="231" s="31" customFormat="1" ht="12.75" customHeight="1" x14ac:dyDescent="0.2"/>
    <row r="232" s="31" customFormat="1" ht="12.75" customHeight="1" x14ac:dyDescent="0.2"/>
    <row r="233" s="31" customFormat="1" ht="12.75" customHeight="1" x14ac:dyDescent="0.2"/>
    <row r="234" s="31" customFormat="1" ht="12.75" customHeight="1" x14ac:dyDescent="0.2"/>
    <row r="235" s="31" customFormat="1" ht="12.75" customHeight="1" x14ac:dyDescent="0.2"/>
    <row r="236" s="31" customFormat="1" ht="12.75" customHeight="1" x14ac:dyDescent="0.2"/>
    <row r="237" s="31" customFormat="1" ht="12.75" customHeight="1" x14ac:dyDescent="0.2"/>
    <row r="238" s="31" customFormat="1" ht="12.75" customHeight="1" x14ac:dyDescent="0.2"/>
    <row r="239" s="31" customFormat="1" ht="12.75" customHeight="1" x14ac:dyDescent="0.2"/>
    <row r="240" s="31" customFormat="1" ht="12.75" customHeight="1" x14ac:dyDescent="0.2"/>
    <row r="241" s="31" customFormat="1" ht="12.75" customHeight="1" x14ac:dyDescent="0.2"/>
    <row r="242" s="31" customFormat="1" ht="12.75" customHeight="1" x14ac:dyDescent="0.2"/>
    <row r="243" s="31" customFormat="1" ht="12.75" customHeight="1" x14ac:dyDescent="0.2"/>
    <row r="244" s="31" customFormat="1" ht="12.75" customHeight="1" x14ac:dyDescent="0.2"/>
    <row r="245" s="31" customFormat="1" ht="12.75" customHeight="1" x14ac:dyDescent="0.2"/>
    <row r="246" s="31" customFormat="1" ht="12.75" customHeight="1" x14ac:dyDescent="0.2"/>
    <row r="247" s="31" customFormat="1" ht="12.75" customHeight="1" x14ac:dyDescent="0.2"/>
    <row r="248" s="31" customFormat="1" ht="12.75" customHeight="1" x14ac:dyDescent="0.2"/>
    <row r="249" s="31" customFormat="1" ht="12.75" customHeight="1" x14ac:dyDescent="0.2"/>
    <row r="250" s="31" customFormat="1" ht="12.75" customHeight="1" x14ac:dyDescent="0.2"/>
    <row r="251" s="31" customFormat="1" ht="12.75" customHeight="1" x14ac:dyDescent="0.2"/>
    <row r="252" s="31" customFormat="1" ht="12.75" customHeight="1" x14ac:dyDescent="0.2"/>
    <row r="253" s="31" customFormat="1" ht="12.75" customHeight="1" x14ac:dyDescent="0.2"/>
    <row r="254" s="31" customFormat="1" ht="12.75" customHeight="1" x14ac:dyDescent="0.2"/>
    <row r="255" s="31" customFormat="1" ht="12.75" customHeight="1" x14ac:dyDescent="0.2"/>
    <row r="256" s="31" customFormat="1" ht="12.75" customHeight="1" x14ac:dyDescent="0.2"/>
    <row r="257" s="31" customFormat="1" ht="12.75" customHeight="1" x14ac:dyDescent="0.2"/>
    <row r="258" s="31" customFormat="1" ht="12.75" customHeight="1" x14ac:dyDescent="0.2"/>
    <row r="259" s="31" customFormat="1" ht="12.75" customHeight="1" x14ac:dyDescent="0.2"/>
    <row r="260" s="31" customFormat="1" ht="12.75" customHeight="1" x14ac:dyDescent="0.2"/>
    <row r="261" s="31" customFormat="1" ht="12.75" customHeight="1" x14ac:dyDescent="0.2"/>
    <row r="262" s="31" customFormat="1" ht="12.75" customHeight="1" x14ac:dyDescent="0.2"/>
    <row r="263" s="31" customFormat="1" ht="12.75" customHeight="1" x14ac:dyDescent="0.2"/>
    <row r="264" s="31" customFormat="1" ht="12.75" customHeight="1" x14ac:dyDescent="0.2"/>
    <row r="265" s="31" customFormat="1" ht="12.75" customHeight="1" x14ac:dyDescent="0.2"/>
    <row r="266" s="31" customFormat="1" ht="12.75" customHeight="1" x14ac:dyDescent="0.2"/>
    <row r="267" s="31" customFormat="1" ht="12.75" customHeight="1" x14ac:dyDescent="0.2"/>
    <row r="268" s="31" customFormat="1" ht="12.75" customHeight="1" x14ac:dyDescent="0.2"/>
    <row r="269" s="31" customFormat="1" ht="12.75" customHeight="1" x14ac:dyDescent="0.2"/>
    <row r="270" s="31" customFormat="1" ht="12.75" customHeight="1" x14ac:dyDescent="0.2"/>
    <row r="271" s="31" customFormat="1" ht="12.75" customHeight="1" x14ac:dyDescent="0.2"/>
    <row r="272" s="31" customFormat="1" ht="12.75" customHeight="1" x14ac:dyDescent="0.2"/>
    <row r="273" s="31" customFormat="1" ht="12.75" customHeight="1" x14ac:dyDescent="0.2"/>
    <row r="274" s="31" customFormat="1" ht="12.75" customHeight="1" x14ac:dyDescent="0.2"/>
    <row r="275" s="31" customFormat="1" ht="12.75" customHeight="1" x14ac:dyDescent="0.2"/>
    <row r="276" s="31" customFormat="1" ht="12.75" customHeight="1" x14ac:dyDescent="0.2"/>
    <row r="277" s="31" customFormat="1" ht="12.75" customHeight="1" x14ac:dyDescent="0.2"/>
    <row r="278" s="31" customFormat="1" ht="12.75" customHeight="1" x14ac:dyDescent="0.2"/>
    <row r="279" s="31" customFormat="1" ht="12.75" customHeight="1" x14ac:dyDescent="0.2"/>
    <row r="280" s="31" customFormat="1" ht="12.75" customHeight="1" x14ac:dyDescent="0.2"/>
    <row r="281" s="31" customFormat="1" ht="12.75" customHeight="1" x14ac:dyDescent="0.2"/>
    <row r="282" s="31" customFormat="1" ht="12.75" customHeight="1" x14ac:dyDescent="0.2"/>
    <row r="283" s="31" customFormat="1" ht="12.75" customHeight="1" x14ac:dyDescent="0.2"/>
    <row r="284" s="31" customFormat="1" ht="12.75" customHeight="1" x14ac:dyDescent="0.2"/>
    <row r="285" s="31" customFormat="1" ht="12.75" customHeight="1" x14ac:dyDescent="0.2"/>
    <row r="286" s="31" customFormat="1" ht="12.75" customHeight="1" x14ac:dyDescent="0.2"/>
    <row r="287" s="31" customFormat="1" ht="12.75" customHeight="1" x14ac:dyDescent="0.2"/>
    <row r="288" s="31" customFormat="1" ht="12.75" customHeight="1" x14ac:dyDescent="0.2"/>
    <row r="289" s="31" customFormat="1" ht="12.75" customHeight="1" x14ac:dyDescent="0.2"/>
    <row r="290" s="31" customFormat="1" ht="12.75" customHeight="1" x14ac:dyDescent="0.2"/>
    <row r="291" s="31" customFormat="1" ht="12.75" customHeight="1" x14ac:dyDescent="0.2"/>
    <row r="292" s="31" customFormat="1" ht="12.75" customHeight="1" x14ac:dyDescent="0.2"/>
    <row r="293" s="31" customFormat="1" ht="12.75" customHeight="1" x14ac:dyDescent="0.2"/>
    <row r="294" s="31" customFormat="1" ht="12.75" customHeight="1" x14ac:dyDescent="0.2"/>
    <row r="295" s="31" customFormat="1" ht="12.75" customHeight="1" x14ac:dyDescent="0.2"/>
    <row r="296" s="31" customFormat="1" ht="12.75" customHeight="1" x14ac:dyDescent="0.2"/>
    <row r="297" s="31" customFormat="1" ht="12.75" customHeight="1" x14ac:dyDescent="0.2"/>
    <row r="298" s="31" customFormat="1" ht="12.75" customHeight="1" x14ac:dyDescent="0.2"/>
    <row r="299" s="31" customFormat="1" ht="12.75" customHeight="1" x14ac:dyDescent="0.2"/>
    <row r="300" s="31" customFormat="1" ht="12.75" customHeight="1" x14ac:dyDescent="0.2"/>
    <row r="301" s="31" customFormat="1" ht="12.75" customHeight="1" x14ac:dyDescent="0.2"/>
    <row r="302" s="31" customFormat="1" ht="12.75" customHeight="1" x14ac:dyDescent="0.2"/>
    <row r="303" s="31" customFormat="1" ht="12.75" customHeight="1" x14ac:dyDescent="0.2"/>
    <row r="304" s="31" customFormat="1" ht="12.75" customHeight="1" x14ac:dyDescent="0.2"/>
    <row r="305" s="31" customFormat="1" ht="12.75" customHeight="1" x14ac:dyDescent="0.2"/>
    <row r="306" s="31" customFormat="1" ht="12.75" customHeight="1" x14ac:dyDescent="0.2"/>
    <row r="307" s="31" customFormat="1" ht="12.75" customHeight="1" x14ac:dyDescent="0.2"/>
    <row r="308" s="31" customFormat="1" ht="12.75" customHeight="1" x14ac:dyDescent="0.2"/>
    <row r="309" s="31" customFormat="1" ht="12.75" customHeight="1" x14ac:dyDescent="0.2"/>
    <row r="310" s="31" customFormat="1" ht="12.75" customHeight="1" x14ac:dyDescent="0.2"/>
    <row r="311" s="31" customFormat="1" ht="12.75" customHeight="1" x14ac:dyDescent="0.2"/>
    <row r="312" s="31" customFormat="1" ht="12.75" customHeight="1" x14ac:dyDescent="0.2"/>
    <row r="313" s="31" customFormat="1" ht="12.75" customHeight="1" x14ac:dyDescent="0.2"/>
    <row r="314" s="31" customFormat="1" ht="12.75" customHeight="1" x14ac:dyDescent="0.2"/>
    <row r="315" s="31" customFormat="1" ht="12.75" customHeight="1" x14ac:dyDescent="0.2"/>
    <row r="316" s="31" customFormat="1" ht="12.75" customHeight="1" x14ac:dyDescent="0.2"/>
    <row r="317" s="31" customFormat="1" ht="12.75" customHeight="1" x14ac:dyDescent="0.2"/>
    <row r="318" s="31" customFormat="1" ht="12.75" customHeight="1" x14ac:dyDescent="0.2"/>
    <row r="319" s="31" customFormat="1" ht="12.75" customHeight="1" x14ac:dyDescent="0.2"/>
    <row r="320" s="31" customFormat="1" ht="12.75" customHeight="1" x14ac:dyDescent="0.2"/>
    <row r="321" s="31" customFormat="1" ht="12.75" customHeight="1" x14ac:dyDescent="0.2"/>
    <row r="322" s="31" customFormat="1" ht="12.75" customHeight="1" x14ac:dyDescent="0.2"/>
    <row r="323" s="31" customFormat="1" ht="12.75" customHeight="1" x14ac:dyDescent="0.2"/>
    <row r="324" s="31" customFormat="1" ht="12.75" customHeight="1" x14ac:dyDescent="0.2"/>
    <row r="325" s="31" customFormat="1" ht="12.75" customHeight="1" x14ac:dyDescent="0.2"/>
    <row r="326" s="31" customFormat="1" ht="12.75" customHeight="1" x14ac:dyDescent="0.2"/>
    <row r="327" s="31" customFormat="1" ht="12.75" customHeight="1" x14ac:dyDescent="0.2"/>
    <row r="328" s="31" customFormat="1" ht="12.75" customHeight="1" x14ac:dyDescent="0.2"/>
    <row r="329" s="31" customFormat="1" ht="12.75" customHeight="1" x14ac:dyDescent="0.2"/>
    <row r="330" s="31" customFormat="1" ht="12.75" customHeight="1" x14ac:dyDescent="0.2"/>
    <row r="331" s="31" customFormat="1" ht="12.75" customHeight="1" x14ac:dyDescent="0.2"/>
    <row r="332" s="31" customFormat="1" ht="12.75" customHeight="1" x14ac:dyDescent="0.2"/>
    <row r="333" s="31" customFormat="1" ht="12.75" customHeight="1" x14ac:dyDescent="0.2"/>
    <row r="334" s="31" customFormat="1" ht="12.75" customHeight="1" x14ac:dyDescent="0.2"/>
    <row r="335" s="31" customFormat="1" ht="12.75" customHeight="1" x14ac:dyDescent="0.2"/>
    <row r="336" s="31" customFormat="1" ht="12.75" customHeight="1" x14ac:dyDescent="0.2"/>
    <row r="337" s="31" customFormat="1" ht="12.75" customHeight="1" x14ac:dyDescent="0.2"/>
    <row r="338" s="31" customFormat="1" ht="12.75" customHeight="1" x14ac:dyDescent="0.2"/>
    <row r="339" s="31" customFormat="1" ht="12.75" customHeight="1" x14ac:dyDescent="0.2"/>
    <row r="340" s="31" customFormat="1" ht="12.75" customHeight="1" x14ac:dyDescent="0.2"/>
    <row r="341" s="31" customFormat="1" ht="12.75" customHeight="1" x14ac:dyDescent="0.2"/>
    <row r="342" s="31" customFormat="1" ht="12.75" customHeight="1" x14ac:dyDescent="0.2"/>
    <row r="343" s="31" customFormat="1" ht="12.75" customHeight="1" x14ac:dyDescent="0.2"/>
    <row r="344" s="31" customFormat="1" ht="12.75" customHeight="1" x14ac:dyDescent="0.2"/>
    <row r="345" s="31" customFormat="1" ht="12.75" customHeight="1" x14ac:dyDescent="0.2"/>
    <row r="346" s="31" customFormat="1" ht="12.75" customHeight="1" x14ac:dyDescent="0.2"/>
    <row r="347" s="31" customFormat="1" ht="12.75" customHeight="1" x14ac:dyDescent="0.2"/>
    <row r="348" s="31" customFormat="1" ht="12.75" customHeight="1" x14ac:dyDescent="0.2"/>
    <row r="349" s="31" customFormat="1" ht="12.75" customHeight="1" x14ac:dyDescent="0.2"/>
    <row r="350" s="31" customFormat="1" ht="12.75" customHeight="1" x14ac:dyDescent="0.2"/>
    <row r="351" s="31" customFormat="1" ht="12.75" customHeight="1" x14ac:dyDescent="0.2"/>
    <row r="352" s="31" customFormat="1" ht="12.75" customHeight="1" x14ac:dyDescent="0.2"/>
    <row r="353" s="31" customFormat="1" ht="12.75" customHeight="1" x14ac:dyDescent="0.2"/>
    <row r="354" s="31" customFormat="1" ht="12.75" customHeight="1" x14ac:dyDescent="0.2"/>
    <row r="355" s="31" customFormat="1" ht="12.75" customHeight="1" x14ac:dyDescent="0.2"/>
    <row r="356" s="31" customFormat="1" ht="12.75" customHeight="1" x14ac:dyDescent="0.2"/>
    <row r="357" s="31" customFormat="1" ht="12.75" customHeight="1" x14ac:dyDescent="0.2"/>
    <row r="358" s="31" customFormat="1" ht="12.75" customHeight="1" x14ac:dyDescent="0.2"/>
    <row r="359" s="31" customFormat="1" ht="12.75" customHeight="1" x14ac:dyDescent="0.2"/>
    <row r="360" s="31" customFormat="1" ht="12.75" customHeight="1" x14ac:dyDescent="0.2"/>
    <row r="361" s="31" customFormat="1" ht="12.75" customHeight="1" x14ac:dyDescent="0.2"/>
    <row r="362" s="31" customFormat="1" ht="12.75" customHeight="1" x14ac:dyDescent="0.2"/>
    <row r="363" s="31" customFormat="1" ht="12.75" customHeight="1" x14ac:dyDescent="0.2"/>
    <row r="364" s="31" customFormat="1" ht="12.75" customHeight="1" x14ac:dyDescent="0.2"/>
    <row r="365" s="31" customFormat="1" ht="12.75" customHeight="1" x14ac:dyDescent="0.2"/>
    <row r="366" s="31" customFormat="1" ht="12.75" customHeight="1" x14ac:dyDescent="0.2"/>
    <row r="367" s="31" customFormat="1" ht="12.75" customHeight="1" x14ac:dyDescent="0.2"/>
    <row r="368" s="31" customFormat="1" ht="12.75" customHeight="1" x14ac:dyDescent="0.2"/>
    <row r="369" s="31" customFormat="1" ht="12.75" customHeight="1" x14ac:dyDescent="0.2"/>
    <row r="370" s="31" customFormat="1" ht="12.75" customHeight="1" x14ac:dyDescent="0.2"/>
    <row r="371" s="31" customFormat="1" ht="12.75" customHeight="1" x14ac:dyDescent="0.2"/>
    <row r="372" s="31" customFormat="1" ht="12.75" customHeight="1" x14ac:dyDescent="0.2"/>
    <row r="373" s="31" customFormat="1" ht="12.75" customHeight="1" x14ac:dyDescent="0.2"/>
    <row r="374" s="31" customFormat="1" ht="12.75" customHeight="1" x14ac:dyDescent="0.2"/>
    <row r="375" s="31" customFormat="1" ht="12.75" customHeight="1" x14ac:dyDescent="0.2"/>
    <row r="376" s="31" customFormat="1" ht="12.75" customHeight="1" x14ac:dyDescent="0.2"/>
    <row r="377" s="31" customFormat="1" ht="12.75" customHeight="1" x14ac:dyDescent="0.2"/>
    <row r="378" s="31" customFormat="1" ht="12.75" customHeight="1" x14ac:dyDescent="0.2"/>
    <row r="379" s="31" customFormat="1" ht="12.75" customHeight="1" x14ac:dyDescent="0.2"/>
    <row r="380" s="31" customFormat="1" ht="12.75" customHeight="1" x14ac:dyDescent="0.2"/>
    <row r="381" s="31" customFormat="1" ht="12.75" customHeight="1" x14ac:dyDescent="0.2"/>
    <row r="382" s="31" customFormat="1" ht="12.75" customHeight="1" x14ac:dyDescent="0.2"/>
    <row r="383" s="31" customFormat="1" ht="12.75" customHeight="1" x14ac:dyDescent="0.2"/>
    <row r="384" s="31" customFormat="1" ht="12.75" customHeight="1" x14ac:dyDescent="0.2"/>
    <row r="385" s="31" customFormat="1" ht="12.75" customHeight="1" x14ac:dyDescent="0.2"/>
    <row r="386" s="31" customFormat="1" ht="12.75" customHeight="1" x14ac:dyDescent="0.2"/>
    <row r="387" s="31" customFormat="1" ht="12.75" customHeight="1" x14ac:dyDescent="0.2"/>
    <row r="388" s="31" customFormat="1" ht="12.75" customHeight="1" x14ac:dyDescent="0.2"/>
    <row r="389" s="31" customFormat="1" ht="12.75" customHeight="1" x14ac:dyDescent="0.2"/>
    <row r="390" s="31" customFormat="1" ht="12.75" customHeight="1" x14ac:dyDescent="0.2"/>
    <row r="391" s="31" customFormat="1" ht="12.75" customHeight="1" x14ac:dyDescent="0.2"/>
    <row r="392" s="31" customFormat="1" ht="12.75" customHeight="1" x14ac:dyDescent="0.2"/>
    <row r="393" s="31" customFormat="1" ht="12.75" customHeight="1" x14ac:dyDescent="0.2"/>
    <row r="394" s="31" customFormat="1" ht="12.75" customHeight="1" x14ac:dyDescent="0.2"/>
    <row r="395" s="31" customFormat="1" ht="12.75" customHeight="1" x14ac:dyDescent="0.2"/>
    <row r="396" s="31" customFormat="1" ht="12.75" customHeight="1" x14ac:dyDescent="0.2"/>
    <row r="397" s="31" customFormat="1" ht="12.75" customHeight="1" x14ac:dyDescent="0.2"/>
    <row r="398" s="31" customFormat="1" ht="12.75" customHeight="1" x14ac:dyDescent="0.2"/>
    <row r="399" s="31" customFormat="1" ht="12.75" customHeight="1" x14ac:dyDescent="0.2"/>
    <row r="400" s="31" customFormat="1" ht="12.75" customHeight="1" x14ac:dyDescent="0.2"/>
    <row r="401" s="31" customFormat="1" ht="12.75" customHeight="1" x14ac:dyDescent="0.2"/>
    <row r="402" s="31" customFormat="1" ht="12.75" customHeight="1" x14ac:dyDescent="0.2"/>
    <row r="403" s="31" customFormat="1" ht="12.75" customHeight="1" x14ac:dyDescent="0.2"/>
    <row r="404" s="31" customFormat="1" ht="12.75" customHeight="1" x14ac:dyDescent="0.2"/>
    <row r="405" s="31" customFormat="1" ht="12.75" customHeight="1" x14ac:dyDescent="0.2"/>
    <row r="406" s="31" customFormat="1" ht="12.75" customHeight="1" x14ac:dyDescent="0.2"/>
    <row r="407" s="31" customFormat="1" ht="12.75" customHeight="1" x14ac:dyDescent="0.2"/>
    <row r="408" s="31" customFormat="1" ht="12.75" customHeight="1" x14ac:dyDescent="0.2"/>
    <row r="409" s="31" customFormat="1" ht="12.75" customHeight="1" x14ac:dyDescent="0.2"/>
    <row r="410" s="31" customFormat="1" ht="12.75" customHeight="1" x14ac:dyDescent="0.2"/>
    <row r="411" s="31" customFormat="1" ht="12.75" customHeight="1" x14ac:dyDescent="0.2"/>
    <row r="412" s="31" customFormat="1" ht="12.75" customHeight="1" x14ac:dyDescent="0.2"/>
    <row r="413" s="31" customFormat="1" ht="12.75" customHeight="1" x14ac:dyDescent="0.2"/>
    <row r="414" s="31" customFormat="1" ht="12.75" customHeight="1" x14ac:dyDescent="0.2"/>
    <row r="415" s="31" customFormat="1" ht="12.75" customHeight="1" x14ac:dyDescent="0.2"/>
    <row r="416" s="31" customFormat="1" ht="12.75" customHeight="1" x14ac:dyDescent="0.2"/>
    <row r="417" s="31" customFormat="1" ht="12.75" customHeight="1" x14ac:dyDescent="0.2"/>
    <row r="418" s="31" customFormat="1" ht="12.75" customHeight="1" x14ac:dyDescent="0.2"/>
    <row r="419" s="31" customFormat="1" ht="12.75" customHeight="1" x14ac:dyDescent="0.2"/>
    <row r="420" s="31" customFormat="1" ht="12.75" customHeight="1" x14ac:dyDescent="0.2"/>
    <row r="421" s="31" customFormat="1" ht="12.75" customHeight="1" x14ac:dyDescent="0.2"/>
    <row r="422" s="31" customFormat="1" ht="12.75" customHeight="1" x14ac:dyDescent="0.2"/>
    <row r="423" s="31" customFormat="1" ht="12.75" customHeight="1" x14ac:dyDescent="0.2"/>
    <row r="424" s="31" customFormat="1" ht="12.75" customHeight="1" x14ac:dyDescent="0.2"/>
    <row r="425" s="31" customFormat="1" ht="12.75" customHeight="1" x14ac:dyDescent="0.2"/>
    <row r="426" s="31" customFormat="1" ht="12.75" customHeight="1" x14ac:dyDescent="0.2"/>
    <row r="427" s="31" customFormat="1" ht="12.75" customHeight="1" x14ac:dyDescent="0.2"/>
    <row r="428" s="31" customFormat="1" ht="12.75" customHeight="1" x14ac:dyDescent="0.2"/>
    <row r="429" s="31" customFormat="1" ht="12.75" customHeight="1" x14ac:dyDescent="0.2"/>
    <row r="430" s="31" customFormat="1" ht="12.75" customHeight="1" x14ac:dyDescent="0.2"/>
    <row r="431" s="31" customFormat="1" ht="12.75" customHeight="1" x14ac:dyDescent="0.2"/>
    <row r="432" s="31" customFormat="1" ht="12.75" customHeight="1" x14ac:dyDescent="0.2"/>
    <row r="433" s="31" customFormat="1" ht="12.75" customHeight="1" x14ac:dyDescent="0.2"/>
    <row r="434" s="31" customFormat="1" ht="12.75" customHeight="1" x14ac:dyDescent="0.2"/>
    <row r="435" s="31" customFormat="1" ht="12.75" customHeight="1" x14ac:dyDescent="0.2"/>
    <row r="436" s="31" customFormat="1" ht="12.75" customHeight="1" x14ac:dyDescent="0.2"/>
    <row r="437" s="31" customFormat="1" ht="12.75" customHeight="1" x14ac:dyDescent="0.2"/>
    <row r="438" s="31" customFormat="1" ht="12.75" customHeight="1" x14ac:dyDescent="0.2"/>
    <row r="439" s="31" customFormat="1" ht="12.75" customHeight="1" x14ac:dyDescent="0.2"/>
    <row r="440" s="31" customFormat="1" ht="12.75" customHeight="1" x14ac:dyDescent="0.2"/>
    <row r="441" s="31" customFormat="1" ht="12.75" customHeight="1" x14ac:dyDescent="0.2"/>
    <row r="442" s="31" customFormat="1" ht="12.75" customHeight="1" x14ac:dyDescent="0.2"/>
    <row r="443" s="31" customFormat="1" ht="12.75" customHeight="1" x14ac:dyDescent="0.2"/>
    <row r="444" s="31" customFormat="1" ht="12.75" customHeight="1" x14ac:dyDescent="0.2"/>
    <row r="445" s="31" customFormat="1" ht="12.75" customHeight="1" x14ac:dyDescent="0.2"/>
    <row r="446" s="31" customFormat="1" ht="12.75" customHeight="1" x14ac:dyDescent="0.2"/>
    <row r="447" s="31" customFormat="1" ht="12.75" customHeight="1" x14ac:dyDescent="0.2"/>
    <row r="448" s="31" customFormat="1" ht="12.75" customHeight="1" x14ac:dyDescent="0.2"/>
    <row r="449" s="31" customFormat="1" ht="12.75" customHeight="1" x14ac:dyDescent="0.2"/>
    <row r="450" s="31" customFormat="1" ht="12.75" customHeight="1" x14ac:dyDescent="0.2"/>
    <row r="451" s="31" customFormat="1" ht="12.75" customHeight="1" x14ac:dyDescent="0.2"/>
    <row r="452" s="31" customFormat="1" ht="12.75" customHeight="1" x14ac:dyDescent="0.2"/>
    <row r="453" s="31" customFormat="1" ht="12.75" customHeight="1" x14ac:dyDescent="0.2"/>
    <row r="454" s="31" customFormat="1" ht="12.75" customHeight="1" x14ac:dyDescent="0.2"/>
    <row r="455" s="31" customFormat="1" ht="12.75" customHeight="1" x14ac:dyDescent="0.2"/>
    <row r="456" s="31" customFormat="1" ht="12.75" customHeight="1" x14ac:dyDescent="0.2"/>
    <row r="457" s="31" customFormat="1" ht="12.75" customHeight="1" x14ac:dyDescent="0.2"/>
    <row r="458" s="31" customFormat="1" ht="12.75" customHeight="1" x14ac:dyDescent="0.2"/>
    <row r="459" s="31" customFormat="1" ht="12.75" customHeight="1" x14ac:dyDescent="0.2"/>
    <row r="460" s="31" customFormat="1" ht="12.75" customHeight="1" x14ac:dyDescent="0.2"/>
    <row r="461" s="31" customFormat="1" ht="12.75" customHeight="1" x14ac:dyDescent="0.2"/>
    <row r="462" s="31" customFormat="1" ht="12.75" customHeight="1" x14ac:dyDescent="0.2"/>
    <row r="463" s="31" customFormat="1" ht="12.75" customHeight="1" x14ac:dyDescent="0.2"/>
    <row r="464" s="31" customFormat="1" ht="12.75" customHeight="1" x14ac:dyDescent="0.2"/>
    <row r="465" s="31" customFormat="1" ht="12.75" customHeight="1" x14ac:dyDescent="0.2"/>
    <row r="466" s="31" customFormat="1" ht="12.75" customHeight="1" x14ac:dyDescent="0.2"/>
    <row r="467" s="31" customFormat="1" ht="12.75" customHeight="1" x14ac:dyDescent="0.2"/>
    <row r="468" s="31" customFormat="1" ht="12.75" customHeight="1" x14ac:dyDescent="0.2"/>
    <row r="469" s="31" customFormat="1" ht="12.75" customHeight="1" x14ac:dyDescent="0.2"/>
    <row r="470" s="31" customFormat="1" ht="12.75" customHeight="1" x14ac:dyDescent="0.2"/>
    <row r="471" s="31" customFormat="1" ht="12.75" customHeight="1" x14ac:dyDescent="0.2"/>
    <row r="472" s="31" customFormat="1" ht="12.75" customHeight="1" x14ac:dyDescent="0.2"/>
    <row r="473" s="31" customFormat="1" ht="12.75" customHeight="1" x14ac:dyDescent="0.2"/>
    <row r="474" s="31" customFormat="1" ht="12.75" customHeight="1" x14ac:dyDescent="0.2"/>
    <row r="475" s="31" customFormat="1" ht="12.75" customHeight="1" x14ac:dyDescent="0.2"/>
    <row r="476" s="31" customFormat="1" ht="12.75" customHeight="1" x14ac:dyDescent="0.2"/>
    <row r="477" s="31" customFormat="1" ht="12.75" customHeight="1" x14ac:dyDescent="0.2"/>
    <row r="478" s="31" customFormat="1" ht="12.75" customHeight="1" x14ac:dyDescent="0.2"/>
    <row r="479" s="31" customFormat="1" ht="12.75" customHeight="1" x14ac:dyDescent="0.2"/>
    <row r="480" s="31" customFormat="1" ht="12.75" customHeight="1" x14ac:dyDescent="0.2"/>
    <row r="481" s="31" customFormat="1" ht="12.75" customHeight="1" x14ac:dyDescent="0.2"/>
    <row r="482" s="31" customFormat="1" ht="12.75" customHeight="1" x14ac:dyDescent="0.2"/>
    <row r="483" s="31" customFormat="1" ht="12.75" customHeight="1" x14ac:dyDescent="0.2"/>
    <row r="484" s="31" customFormat="1" ht="12.75" customHeight="1" x14ac:dyDescent="0.2"/>
    <row r="485" s="31" customFormat="1" ht="12.75" customHeight="1" x14ac:dyDescent="0.2"/>
    <row r="486" s="31" customFormat="1" ht="12.75" customHeight="1" x14ac:dyDescent="0.2"/>
    <row r="487" s="31" customFormat="1" ht="12.75" customHeight="1" x14ac:dyDescent="0.2"/>
    <row r="488" s="31" customFormat="1" ht="12.75" customHeight="1" x14ac:dyDescent="0.2"/>
    <row r="489" s="31" customFormat="1" ht="12.75" customHeight="1" x14ac:dyDescent="0.2"/>
    <row r="490" s="31" customFormat="1" ht="12.75" customHeight="1" x14ac:dyDescent="0.2"/>
    <row r="491" s="31" customFormat="1" ht="12.75" customHeight="1" x14ac:dyDescent="0.2"/>
    <row r="492" s="31" customFormat="1" ht="12.75" customHeight="1" x14ac:dyDescent="0.2"/>
    <row r="493" s="31" customFormat="1" ht="12.75" customHeight="1" x14ac:dyDescent="0.2"/>
    <row r="494" s="31" customFormat="1" ht="12.75" customHeight="1" x14ac:dyDescent="0.2"/>
    <row r="495" s="31" customFormat="1" ht="12.75" customHeight="1" x14ac:dyDescent="0.2"/>
    <row r="496" s="31" customFormat="1" ht="12.75" customHeight="1" x14ac:dyDescent="0.2"/>
    <row r="497" s="31" customFormat="1" ht="12.75" customHeight="1" x14ac:dyDescent="0.2"/>
    <row r="498" s="31" customFormat="1" ht="12.75" customHeight="1" x14ac:dyDescent="0.2"/>
    <row r="499" s="31" customFormat="1" ht="12.75" customHeight="1" x14ac:dyDescent="0.2"/>
    <row r="500" s="31" customFormat="1" ht="12.75" customHeight="1" x14ac:dyDescent="0.2"/>
    <row r="501" s="31" customFormat="1" ht="12.75" customHeight="1" x14ac:dyDescent="0.2"/>
    <row r="502" s="31" customFormat="1" ht="12.75" customHeight="1" x14ac:dyDescent="0.2"/>
    <row r="503" s="31" customFormat="1" ht="12.75" customHeight="1" x14ac:dyDescent="0.2"/>
    <row r="504" s="31" customFormat="1" ht="12.75" customHeight="1" x14ac:dyDescent="0.2"/>
    <row r="505" s="31" customFormat="1" ht="12.75" customHeight="1" x14ac:dyDescent="0.2"/>
    <row r="506" s="31" customFormat="1" ht="12.75" customHeight="1" x14ac:dyDescent="0.2"/>
    <row r="507" s="31" customFormat="1" ht="12.75" customHeight="1" x14ac:dyDescent="0.2"/>
    <row r="508" s="31" customFormat="1" ht="12.75" customHeight="1" x14ac:dyDescent="0.2"/>
    <row r="509" s="31" customFormat="1" ht="12.75" customHeight="1" x14ac:dyDescent="0.2"/>
    <row r="510" s="31" customFormat="1" ht="12.75" customHeight="1" x14ac:dyDescent="0.2"/>
    <row r="511" s="31" customFormat="1" ht="12.75" customHeight="1" x14ac:dyDescent="0.2"/>
    <row r="512" s="31" customFormat="1" ht="12.75" customHeight="1" x14ac:dyDescent="0.2"/>
    <row r="513" s="31" customFormat="1" ht="12.75" customHeight="1" x14ac:dyDescent="0.2"/>
    <row r="514" s="31" customFormat="1" ht="12.75" customHeight="1" x14ac:dyDescent="0.2"/>
    <row r="515" s="31" customFormat="1" ht="12.75" customHeight="1" x14ac:dyDescent="0.2"/>
    <row r="516" s="31" customFormat="1" ht="12.75" customHeight="1" x14ac:dyDescent="0.2"/>
    <row r="517" s="31" customFormat="1" ht="12.75" customHeight="1" x14ac:dyDescent="0.2"/>
    <row r="518" s="31" customFormat="1" ht="12.75" customHeight="1" x14ac:dyDescent="0.2"/>
    <row r="519" s="31" customFormat="1" ht="12.75" customHeight="1" x14ac:dyDescent="0.2"/>
    <row r="520" s="31" customFormat="1" ht="12.75" customHeight="1" x14ac:dyDescent="0.2"/>
    <row r="521" s="31" customFormat="1" ht="12.75" customHeight="1" x14ac:dyDescent="0.2"/>
    <row r="522" s="31" customFormat="1" ht="12.75" customHeight="1" x14ac:dyDescent="0.2"/>
    <row r="523" s="31" customFormat="1" ht="12.75" customHeight="1" x14ac:dyDescent="0.2"/>
    <row r="524" s="31" customFormat="1" ht="12.75" customHeight="1" x14ac:dyDescent="0.2"/>
    <row r="525" s="31" customFormat="1" ht="12.75" customHeight="1" x14ac:dyDescent="0.2"/>
    <row r="526" s="31" customFormat="1" ht="12.75" customHeight="1" x14ac:dyDescent="0.2"/>
    <row r="527" s="31" customFormat="1" ht="12.75" customHeight="1" x14ac:dyDescent="0.2"/>
    <row r="528" s="31" customFormat="1" ht="12.75" customHeight="1" x14ac:dyDescent="0.2"/>
    <row r="529" s="31" customFormat="1" ht="12.75" customHeight="1" x14ac:dyDescent="0.2"/>
    <row r="530" s="31" customFormat="1" ht="12.75" customHeight="1" x14ac:dyDescent="0.2"/>
    <row r="531" s="31" customFormat="1" ht="12.75" customHeight="1" x14ac:dyDescent="0.2"/>
    <row r="532" s="31" customFormat="1" ht="12.75" customHeight="1" x14ac:dyDescent="0.2"/>
    <row r="533" s="31" customFormat="1" ht="12.75" customHeight="1" x14ac:dyDescent="0.2"/>
    <row r="534" s="31" customFormat="1" ht="12.75" customHeight="1" x14ac:dyDescent="0.2"/>
    <row r="535" s="31" customFormat="1" ht="12.75" customHeight="1" x14ac:dyDescent="0.2"/>
    <row r="536" s="31" customFormat="1" ht="12.75" customHeight="1" x14ac:dyDescent="0.2"/>
    <row r="537" s="31" customFormat="1" ht="12.75" customHeight="1" x14ac:dyDescent="0.2"/>
    <row r="538" s="31" customFormat="1" ht="12.75" customHeight="1" x14ac:dyDescent="0.2"/>
    <row r="539" s="31" customFormat="1" ht="12.75" customHeight="1" x14ac:dyDescent="0.2"/>
    <row r="540" s="31" customFormat="1" ht="12.75" customHeight="1" x14ac:dyDescent="0.2"/>
    <row r="541" s="31" customFormat="1" ht="12.75" customHeight="1" x14ac:dyDescent="0.2"/>
    <row r="542" s="31" customFormat="1" ht="12.75" customHeight="1" x14ac:dyDescent="0.2"/>
    <row r="543" s="31" customFormat="1" ht="12.75" customHeight="1" x14ac:dyDescent="0.2"/>
    <row r="544" s="31" customFormat="1" ht="12.75" customHeight="1" x14ac:dyDescent="0.2"/>
    <row r="545" s="31" customFormat="1" ht="12.75" customHeight="1" x14ac:dyDescent="0.2"/>
    <row r="546" s="31" customFormat="1" ht="12.75" customHeight="1" x14ac:dyDescent="0.2"/>
    <row r="547" s="31" customFormat="1" ht="12.75" customHeight="1" x14ac:dyDescent="0.2"/>
    <row r="548" s="31" customFormat="1" ht="12.75" customHeight="1" x14ac:dyDescent="0.2"/>
    <row r="549" s="31" customFormat="1" ht="12.75" customHeight="1" x14ac:dyDescent="0.2"/>
    <row r="550" s="31" customFormat="1" ht="12.75" customHeight="1" x14ac:dyDescent="0.2"/>
    <row r="551" s="31" customFormat="1" ht="12.75" customHeight="1" x14ac:dyDescent="0.2"/>
    <row r="552" s="31" customFormat="1" ht="12.75" customHeight="1" x14ac:dyDescent="0.2"/>
    <row r="553" s="31" customFormat="1" ht="12.75" customHeight="1" x14ac:dyDescent="0.2"/>
    <row r="554" s="31" customFormat="1" ht="12.75" customHeight="1" x14ac:dyDescent="0.2"/>
    <row r="555" s="31" customFormat="1" ht="12.75" customHeight="1" x14ac:dyDescent="0.2"/>
    <row r="556" s="31" customFormat="1" ht="12.75" customHeight="1" x14ac:dyDescent="0.2"/>
    <row r="557" s="31" customFormat="1" ht="12.75" customHeight="1" x14ac:dyDescent="0.2"/>
    <row r="558" s="31" customFormat="1" ht="12.75" customHeight="1" x14ac:dyDescent="0.2"/>
    <row r="559" s="31" customFormat="1" ht="12.75" customHeight="1" x14ac:dyDescent="0.2"/>
    <row r="560" s="31" customFormat="1" ht="12.75" customHeight="1" x14ac:dyDescent="0.2"/>
    <row r="561" s="31" customFormat="1" ht="12.75" customHeight="1" x14ac:dyDescent="0.2"/>
    <row r="562" s="31" customFormat="1" ht="12.75" customHeight="1" x14ac:dyDescent="0.2"/>
    <row r="563" s="31" customFormat="1" ht="12.75" customHeight="1" x14ac:dyDescent="0.2"/>
    <row r="564" s="31" customFormat="1" ht="12.75" customHeight="1" x14ac:dyDescent="0.2"/>
    <row r="565" s="31" customFormat="1" ht="12.75" customHeight="1" x14ac:dyDescent="0.2"/>
    <row r="566" s="31" customFormat="1" ht="12.75" customHeight="1" x14ac:dyDescent="0.2"/>
    <row r="567" s="31" customFormat="1" ht="12.75" customHeight="1" x14ac:dyDescent="0.2"/>
    <row r="568" s="31" customFormat="1" ht="12.75" customHeight="1" x14ac:dyDescent="0.2"/>
    <row r="569" s="31" customFormat="1" ht="12.75" customHeight="1" x14ac:dyDescent="0.2"/>
    <row r="570" s="31" customFormat="1" ht="12.75" customHeight="1" x14ac:dyDescent="0.2"/>
    <row r="571" s="31" customFormat="1" ht="12.75" customHeight="1" x14ac:dyDescent="0.2"/>
    <row r="572" s="31" customFormat="1" ht="12.75" customHeight="1" x14ac:dyDescent="0.2"/>
    <row r="573" s="31" customFormat="1" ht="12.75" customHeight="1" x14ac:dyDescent="0.2"/>
    <row r="574" s="31" customFormat="1" ht="12.75" customHeight="1" x14ac:dyDescent="0.2"/>
    <row r="575" s="31" customFormat="1" ht="12.75" customHeight="1" x14ac:dyDescent="0.2"/>
    <row r="576" s="31" customFormat="1" ht="12.75" customHeight="1" x14ac:dyDescent="0.2"/>
    <row r="577" s="31" customFormat="1" ht="12.75" customHeight="1" x14ac:dyDescent="0.2"/>
    <row r="578" s="31" customFormat="1" ht="12.75" customHeight="1" x14ac:dyDescent="0.2"/>
    <row r="579" s="31" customFormat="1" ht="12.75" customHeight="1" x14ac:dyDescent="0.2"/>
    <row r="580" s="31" customFormat="1" ht="12.75" customHeight="1" x14ac:dyDescent="0.2"/>
    <row r="581" s="31" customFormat="1" ht="12.75" customHeight="1" x14ac:dyDescent="0.2"/>
    <row r="582" s="31" customFormat="1" ht="12.75" customHeight="1" x14ac:dyDescent="0.2"/>
    <row r="583" s="31" customFormat="1" ht="12.75" customHeight="1" x14ac:dyDescent="0.2"/>
    <row r="584" s="31" customFormat="1" ht="12.75" customHeight="1" x14ac:dyDescent="0.2"/>
    <row r="585" s="31" customFormat="1" ht="12.75" customHeight="1" x14ac:dyDescent="0.2"/>
    <row r="586" s="31" customFormat="1" ht="12.75" customHeight="1" x14ac:dyDescent="0.2"/>
    <row r="587" s="31" customFormat="1" ht="12.75" customHeight="1" x14ac:dyDescent="0.2"/>
    <row r="588" s="31" customFormat="1" ht="12.75" customHeight="1" x14ac:dyDescent="0.2"/>
    <row r="589" s="31" customFormat="1" ht="12.75" customHeight="1" x14ac:dyDescent="0.2"/>
    <row r="590" s="31" customFormat="1" ht="12.75" customHeight="1" x14ac:dyDescent="0.2"/>
    <row r="591" s="31" customFormat="1" ht="12.75" customHeight="1" x14ac:dyDescent="0.2"/>
    <row r="592" s="31" customFormat="1" ht="12.75" customHeight="1" x14ac:dyDescent="0.2"/>
    <row r="593" s="31" customFormat="1" ht="12.75" customHeight="1" x14ac:dyDescent="0.2"/>
    <row r="594" s="31" customFormat="1" ht="12.75" customHeight="1" x14ac:dyDescent="0.2"/>
    <row r="595" s="31" customFormat="1" ht="12.75" customHeight="1" x14ac:dyDescent="0.2"/>
    <row r="596" s="31" customFormat="1" ht="12.75" customHeight="1" x14ac:dyDescent="0.2"/>
    <row r="597" s="31" customFormat="1" ht="12.75" customHeight="1" x14ac:dyDescent="0.2"/>
    <row r="598" s="31" customFormat="1" ht="12.75" customHeight="1" x14ac:dyDescent="0.2"/>
    <row r="599" s="31" customFormat="1" ht="12.75" customHeight="1" x14ac:dyDescent="0.2"/>
    <row r="600" s="31" customFormat="1" ht="12.75" customHeight="1" x14ac:dyDescent="0.2"/>
    <row r="601" s="31" customFormat="1" ht="12.75" customHeight="1" x14ac:dyDescent="0.2"/>
    <row r="602" s="31" customFormat="1" ht="12.75" customHeight="1" x14ac:dyDescent="0.2"/>
    <row r="603" s="31" customFormat="1" ht="12.75" customHeight="1" x14ac:dyDescent="0.2"/>
    <row r="604" s="31" customFormat="1" ht="12.75" customHeight="1" x14ac:dyDescent="0.2"/>
    <row r="605" s="31" customFormat="1" ht="12.75" customHeight="1" x14ac:dyDescent="0.2"/>
    <row r="606" s="31" customFormat="1" ht="12.75" customHeight="1" x14ac:dyDescent="0.2"/>
    <row r="607" s="31" customFormat="1" ht="12.75" customHeight="1" x14ac:dyDescent="0.2"/>
    <row r="608" s="31" customFormat="1" ht="12.75" customHeight="1" x14ac:dyDescent="0.2"/>
    <row r="609" s="31" customFormat="1" ht="12.75" customHeight="1" x14ac:dyDescent="0.2"/>
    <row r="610" s="31" customFormat="1" ht="12.75" customHeight="1" x14ac:dyDescent="0.2"/>
    <row r="611" s="31" customFormat="1" ht="12.75" customHeight="1" x14ac:dyDescent="0.2"/>
    <row r="612" s="31" customFormat="1" ht="12.75" customHeight="1" x14ac:dyDescent="0.2"/>
    <row r="613" s="31" customFormat="1" ht="12.75" customHeight="1" x14ac:dyDescent="0.2"/>
    <row r="614" s="31" customFormat="1" ht="12.75" customHeight="1" x14ac:dyDescent="0.2"/>
    <row r="615" s="31" customFormat="1" ht="12.75" customHeight="1" x14ac:dyDescent="0.2"/>
    <row r="616" s="31" customFormat="1" ht="12.75" customHeight="1" x14ac:dyDescent="0.2"/>
    <row r="617" s="31" customFormat="1" ht="12.75" customHeight="1" x14ac:dyDescent="0.2"/>
    <row r="618" s="31" customFormat="1" ht="12.75" customHeight="1" x14ac:dyDescent="0.2"/>
    <row r="619" s="31" customFormat="1" ht="12.75" customHeight="1" x14ac:dyDescent="0.2"/>
    <row r="620" s="31" customFormat="1" ht="12.75" customHeight="1" x14ac:dyDescent="0.2"/>
    <row r="621" s="31" customFormat="1" ht="12.75" customHeight="1" x14ac:dyDescent="0.2"/>
    <row r="622" s="31" customFormat="1" ht="12.75" customHeight="1" x14ac:dyDescent="0.2"/>
    <row r="623" s="31" customFormat="1" ht="12.75" customHeight="1" x14ac:dyDescent="0.2"/>
    <row r="624" s="31" customFormat="1" ht="12.75" customHeight="1" x14ac:dyDescent="0.2"/>
    <row r="625" s="31" customFormat="1" ht="12.75" customHeight="1" x14ac:dyDescent="0.2"/>
    <row r="626" s="31" customFormat="1" ht="12.75" customHeight="1" x14ac:dyDescent="0.2"/>
    <row r="627" s="31" customFormat="1" ht="12.75" customHeight="1" x14ac:dyDescent="0.2"/>
    <row r="628" s="31" customFormat="1" ht="12.75" customHeight="1" x14ac:dyDescent="0.2"/>
    <row r="629" s="31" customFormat="1" ht="12.75" customHeight="1" x14ac:dyDescent="0.2"/>
    <row r="630" s="31" customFormat="1" ht="12.75" customHeight="1" x14ac:dyDescent="0.2"/>
    <row r="631" s="31" customFormat="1" ht="12.75" customHeight="1" x14ac:dyDescent="0.2"/>
    <row r="632" s="31" customFormat="1" ht="12.75" customHeight="1" x14ac:dyDescent="0.2"/>
    <row r="633" s="31" customFormat="1" ht="12.75" customHeight="1" x14ac:dyDescent="0.2"/>
    <row r="634" s="31" customFormat="1" ht="12.75" customHeight="1" x14ac:dyDescent="0.2"/>
    <row r="635" s="31" customFormat="1" ht="12.75" customHeight="1" x14ac:dyDescent="0.2"/>
    <row r="636" s="31" customFormat="1" ht="12.75" customHeight="1" x14ac:dyDescent="0.2"/>
    <row r="637" s="31" customFormat="1" ht="12.75" customHeight="1" x14ac:dyDescent="0.2"/>
    <row r="638" s="31" customFormat="1" ht="12.75" customHeight="1" x14ac:dyDescent="0.2"/>
    <row r="639" s="31" customFormat="1" ht="12.75" customHeight="1" x14ac:dyDescent="0.2"/>
    <row r="640" s="31" customFormat="1" ht="12.75" customHeight="1" x14ac:dyDescent="0.2"/>
    <row r="641" s="31" customFormat="1" ht="12.75" customHeight="1" x14ac:dyDescent="0.2"/>
    <row r="642" s="31" customFormat="1" ht="12.75" customHeight="1" x14ac:dyDescent="0.2"/>
    <row r="643" s="31" customFormat="1" ht="12.75" customHeight="1" x14ac:dyDescent="0.2"/>
    <row r="644" s="31" customFormat="1" ht="12.75" customHeight="1" x14ac:dyDescent="0.2"/>
    <row r="645" s="31" customFormat="1" ht="12.75" customHeight="1" x14ac:dyDescent="0.2"/>
    <row r="646" s="31" customFormat="1" ht="12.75" customHeight="1" x14ac:dyDescent="0.2"/>
    <row r="647" s="31" customFormat="1" ht="12.75" customHeight="1" x14ac:dyDescent="0.2"/>
    <row r="648" s="31" customFormat="1" ht="12.75" customHeight="1" x14ac:dyDescent="0.2"/>
    <row r="649" s="31" customFormat="1" ht="12.75" customHeight="1" x14ac:dyDescent="0.2"/>
    <row r="650" s="31" customFormat="1" ht="12.75" customHeight="1" x14ac:dyDescent="0.2"/>
    <row r="651" s="31" customFormat="1" ht="12.75" customHeight="1" x14ac:dyDescent="0.2"/>
    <row r="652" s="31" customFormat="1" ht="12.75" customHeight="1" x14ac:dyDescent="0.2"/>
    <row r="653" s="31" customFormat="1" ht="12.75" customHeight="1" x14ac:dyDescent="0.2"/>
    <row r="654" s="31" customFormat="1" ht="12.75" customHeight="1" x14ac:dyDescent="0.2"/>
    <row r="655" s="31" customFormat="1" ht="12.75" customHeight="1" x14ac:dyDescent="0.2"/>
    <row r="656" s="31" customFormat="1" ht="12.75" customHeight="1" x14ac:dyDescent="0.2"/>
    <row r="657" s="31" customFormat="1" ht="12.75" customHeight="1" x14ac:dyDescent="0.2"/>
    <row r="658" s="31" customFormat="1" ht="12.75" customHeight="1" x14ac:dyDescent="0.2"/>
    <row r="659" s="31" customFormat="1" ht="12.75" customHeight="1" x14ac:dyDescent="0.2"/>
    <row r="660" s="31" customFormat="1" ht="12.75" customHeight="1" x14ac:dyDescent="0.2"/>
    <row r="661" s="31" customFormat="1" ht="12.75" customHeight="1" x14ac:dyDescent="0.2"/>
    <row r="662" s="31" customFormat="1" ht="12.75" customHeight="1" x14ac:dyDescent="0.2"/>
    <row r="663" s="31" customFormat="1" ht="12.75" customHeight="1" x14ac:dyDescent="0.2"/>
    <row r="664" s="31" customFormat="1" ht="12.75" customHeight="1" x14ac:dyDescent="0.2"/>
    <row r="665" s="31" customFormat="1" ht="12.75" customHeight="1" x14ac:dyDescent="0.2"/>
    <row r="666" s="31" customFormat="1" ht="12.75" customHeight="1" x14ac:dyDescent="0.2"/>
    <row r="667" s="31" customFormat="1" ht="12.75" customHeight="1" x14ac:dyDescent="0.2"/>
    <row r="668" s="31" customFormat="1" ht="12.75" customHeight="1" x14ac:dyDescent="0.2"/>
    <row r="669" s="31" customFormat="1" ht="12.75" customHeight="1" x14ac:dyDescent="0.2"/>
    <row r="670" s="31" customFormat="1" ht="12.75" customHeight="1" x14ac:dyDescent="0.2"/>
    <row r="671" s="31" customFormat="1" ht="12.75" customHeight="1" x14ac:dyDescent="0.2"/>
    <row r="672" s="31" customFormat="1" ht="12.75" customHeight="1" x14ac:dyDescent="0.2"/>
    <row r="673" s="31" customFormat="1" ht="12.75" customHeight="1" x14ac:dyDescent="0.2"/>
    <row r="674" s="31" customFormat="1" ht="12.75" customHeight="1" x14ac:dyDescent="0.2"/>
    <row r="675" s="31" customFormat="1" ht="12.75" customHeight="1" x14ac:dyDescent="0.2"/>
    <row r="676" s="31" customFormat="1" ht="12.75" customHeight="1" x14ac:dyDescent="0.2"/>
    <row r="677" s="31" customFormat="1" ht="12.75" customHeight="1" x14ac:dyDescent="0.2"/>
    <row r="678" s="31" customFormat="1" ht="12.75" customHeight="1" x14ac:dyDescent="0.2"/>
    <row r="679" s="31" customFormat="1" ht="12.75" customHeight="1" x14ac:dyDescent="0.2"/>
    <row r="680" s="31" customFormat="1" ht="12.75" customHeight="1" x14ac:dyDescent="0.2"/>
    <row r="681" s="31" customFormat="1" ht="12.75" customHeight="1" x14ac:dyDescent="0.2"/>
    <row r="682" s="31" customFormat="1" ht="12.75" customHeight="1" x14ac:dyDescent="0.2"/>
    <row r="683" s="31" customFormat="1" ht="12.75" customHeight="1" x14ac:dyDescent="0.2"/>
    <row r="684" s="31" customFormat="1" ht="12.75" customHeight="1" x14ac:dyDescent="0.2"/>
    <row r="685" s="31" customFormat="1" ht="12.75" customHeight="1" x14ac:dyDescent="0.2"/>
    <row r="686" s="31" customFormat="1" ht="12.75" customHeight="1" x14ac:dyDescent="0.2"/>
    <row r="687" s="31" customFormat="1" ht="12.75" customHeight="1" x14ac:dyDescent="0.2"/>
    <row r="688" s="31" customFormat="1" ht="12.75" customHeight="1" x14ac:dyDescent="0.2"/>
    <row r="689" s="31" customFormat="1" ht="12.75" customHeight="1" x14ac:dyDescent="0.2"/>
    <row r="690" s="31" customFormat="1" ht="12.75" customHeight="1" x14ac:dyDescent="0.2"/>
    <row r="691" s="31" customFormat="1" ht="12.75" customHeight="1" x14ac:dyDescent="0.2"/>
    <row r="692" s="31" customFormat="1" ht="12.75" customHeight="1" x14ac:dyDescent="0.2"/>
    <row r="693" s="31" customFormat="1" ht="12.75" customHeight="1" x14ac:dyDescent="0.2"/>
    <row r="694" s="31" customFormat="1" ht="12.75" customHeight="1" x14ac:dyDescent="0.2"/>
    <row r="695" s="31" customFormat="1" ht="12.75" customHeight="1" x14ac:dyDescent="0.2"/>
    <row r="696" s="31" customFormat="1" ht="12.75" customHeight="1" x14ac:dyDescent="0.2"/>
    <row r="697" s="31" customFormat="1" ht="12.75" customHeight="1" x14ac:dyDescent="0.2"/>
    <row r="698" s="31" customFormat="1" ht="12.75" customHeight="1" x14ac:dyDescent="0.2"/>
    <row r="699" s="31" customFormat="1" ht="12.75" customHeight="1" x14ac:dyDescent="0.2"/>
    <row r="700" s="31" customFormat="1" ht="12.75" customHeight="1" x14ac:dyDescent="0.2"/>
    <row r="701" s="31" customFormat="1" ht="12.75" customHeight="1" x14ac:dyDescent="0.2"/>
    <row r="702" s="31" customFormat="1" ht="12.75" customHeight="1" x14ac:dyDescent="0.2"/>
    <row r="703" s="31" customFormat="1" ht="12.75" customHeight="1" x14ac:dyDescent="0.2"/>
    <row r="704" s="31" customFormat="1" ht="12.75" customHeight="1" x14ac:dyDescent="0.2"/>
    <row r="705" s="31" customFormat="1" ht="12.75" customHeight="1" x14ac:dyDescent="0.2"/>
    <row r="706" s="31" customFormat="1" ht="12.75" customHeight="1" x14ac:dyDescent="0.2"/>
    <row r="707" s="31" customFormat="1" ht="12.75" customHeight="1" x14ac:dyDescent="0.2"/>
    <row r="708" s="31" customFormat="1" ht="12.75" customHeight="1" x14ac:dyDescent="0.2"/>
    <row r="709" s="31" customFormat="1" ht="12.75" customHeight="1" x14ac:dyDescent="0.2"/>
    <row r="710" s="31" customFormat="1" ht="12.75" customHeight="1" x14ac:dyDescent="0.2"/>
    <row r="711" s="31" customFormat="1" ht="12.75" customHeight="1" x14ac:dyDescent="0.2"/>
    <row r="712" s="31" customFormat="1" ht="12.75" customHeight="1" x14ac:dyDescent="0.2"/>
    <row r="713" s="31" customFormat="1" ht="12.75" customHeight="1" x14ac:dyDescent="0.2"/>
    <row r="714" s="31" customFormat="1" ht="12.75" customHeight="1" x14ac:dyDescent="0.2"/>
    <row r="715" s="31" customFormat="1" ht="12.75" customHeight="1" x14ac:dyDescent="0.2"/>
    <row r="716" s="31" customFormat="1" ht="12.75" customHeight="1" x14ac:dyDescent="0.2"/>
    <row r="717" s="31" customFormat="1" ht="12.75" customHeight="1" x14ac:dyDescent="0.2"/>
    <row r="718" s="31" customFormat="1" ht="12.75" customHeight="1" x14ac:dyDescent="0.2"/>
    <row r="719" s="31" customFormat="1" ht="12.75" customHeight="1" x14ac:dyDescent="0.2"/>
    <row r="720" s="31" customFormat="1" ht="12.75" customHeight="1" x14ac:dyDescent="0.2"/>
    <row r="721" s="31" customFormat="1" ht="12.75" customHeight="1" x14ac:dyDescent="0.2"/>
    <row r="722" s="31" customFormat="1" ht="12.75" customHeight="1" x14ac:dyDescent="0.2"/>
    <row r="723" s="31" customFormat="1" ht="12.75" customHeight="1" x14ac:dyDescent="0.2"/>
    <row r="724" s="31" customFormat="1" ht="12.75" customHeight="1" x14ac:dyDescent="0.2"/>
    <row r="725" s="31" customFormat="1" ht="12.75" customHeight="1" x14ac:dyDescent="0.2"/>
    <row r="726" s="31" customFormat="1" ht="12.75" customHeight="1" x14ac:dyDescent="0.2"/>
    <row r="727" s="31" customFormat="1" ht="12.75" customHeight="1" x14ac:dyDescent="0.2"/>
    <row r="728" s="31" customFormat="1" ht="12.75" customHeight="1" x14ac:dyDescent="0.2"/>
    <row r="729" s="31" customFormat="1" ht="12.75" customHeight="1" x14ac:dyDescent="0.2"/>
    <row r="730" s="31" customFormat="1" ht="12.75" customHeight="1" x14ac:dyDescent="0.2"/>
    <row r="731" s="31" customFormat="1" ht="12.75" customHeight="1" x14ac:dyDescent="0.2"/>
    <row r="732" s="31" customFormat="1" ht="12.75" customHeight="1" x14ac:dyDescent="0.2"/>
    <row r="733" s="31" customFormat="1" ht="12.75" customHeight="1" x14ac:dyDescent="0.2"/>
    <row r="734" s="31" customFormat="1" ht="12.75" customHeight="1" x14ac:dyDescent="0.2"/>
    <row r="735" s="31" customFormat="1" ht="12.75" customHeight="1" x14ac:dyDescent="0.2"/>
    <row r="736" s="31" customFormat="1" ht="12.75" customHeight="1" x14ac:dyDescent="0.2"/>
    <row r="737" s="31" customFormat="1" ht="12.75" customHeight="1" x14ac:dyDescent="0.2"/>
    <row r="738" s="31" customFormat="1" ht="12.75" customHeight="1" x14ac:dyDescent="0.2"/>
    <row r="739" s="31" customFormat="1" ht="12.75" customHeight="1" x14ac:dyDescent="0.2"/>
    <row r="740" s="31" customFormat="1" ht="12.75" customHeight="1" x14ac:dyDescent="0.2"/>
    <row r="741" s="31" customFormat="1" ht="12.75" customHeight="1" x14ac:dyDescent="0.2"/>
    <row r="742" s="31" customFormat="1" ht="12.75" customHeight="1" x14ac:dyDescent="0.2"/>
    <row r="743" s="31" customFormat="1" ht="12.75" customHeight="1" x14ac:dyDescent="0.2"/>
    <row r="744" s="31" customFormat="1" ht="12.75" customHeight="1" x14ac:dyDescent="0.2"/>
    <row r="745" s="31" customFormat="1" ht="12.75" customHeight="1" x14ac:dyDescent="0.2"/>
    <row r="746" s="31" customFormat="1" ht="12.75" customHeight="1" x14ac:dyDescent="0.2"/>
    <row r="747" s="31" customFormat="1" ht="12.75" customHeight="1" x14ac:dyDescent="0.2"/>
    <row r="748" s="31" customFormat="1" ht="12.75" customHeight="1" x14ac:dyDescent="0.2"/>
    <row r="749" s="31" customFormat="1" ht="12.75" customHeight="1" x14ac:dyDescent="0.2"/>
    <row r="750" s="31" customFormat="1" ht="12.75" customHeight="1" x14ac:dyDescent="0.2"/>
    <row r="751" s="31" customFormat="1" ht="12.75" customHeight="1" x14ac:dyDescent="0.2"/>
    <row r="752" s="31" customFormat="1" ht="12.75" customHeight="1" x14ac:dyDescent="0.2"/>
    <row r="753" s="31" customFormat="1" ht="12.75" customHeight="1" x14ac:dyDescent="0.2"/>
    <row r="754" s="31" customFormat="1" ht="12.75" customHeight="1" x14ac:dyDescent="0.2"/>
    <row r="755" s="31" customFormat="1" ht="12.75" customHeight="1" x14ac:dyDescent="0.2"/>
    <row r="756" s="31" customFormat="1" ht="12.75" customHeight="1" x14ac:dyDescent="0.2"/>
    <row r="757" s="31" customFormat="1" ht="12.75" customHeight="1" x14ac:dyDescent="0.2"/>
    <row r="758" s="31" customFormat="1" ht="12.75" customHeight="1" x14ac:dyDescent="0.2"/>
    <row r="759" s="31" customFormat="1" ht="12.75" customHeight="1" x14ac:dyDescent="0.2"/>
    <row r="760" s="31" customFormat="1" ht="12.75" customHeight="1" x14ac:dyDescent="0.2"/>
    <row r="761" s="31" customFormat="1" ht="12.75" customHeight="1" x14ac:dyDescent="0.2"/>
    <row r="762" s="31" customFormat="1" ht="12.75" customHeight="1" x14ac:dyDescent="0.2"/>
    <row r="763" s="31" customFormat="1" ht="12.75" customHeight="1" x14ac:dyDescent="0.2"/>
    <row r="764" s="31" customFormat="1" ht="12.75" customHeight="1" x14ac:dyDescent="0.2"/>
    <row r="765" s="31" customFormat="1" ht="12.75" customHeight="1" x14ac:dyDescent="0.2"/>
    <row r="766" s="31" customFormat="1" ht="12.75" customHeight="1" x14ac:dyDescent="0.2"/>
    <row r="767" s="31" customFormat="1" ht="12.75" customHeight="1" x14ac:dyDescent="0.2"/>
    <row r="768" s="31" customFormat="1" ht="12.75" customHeight="1" x14ac:dyDescent="0.2"/>
    <row r="769" s="31" customFormat="1" ht="12.75" customHeight="1" x14ac:dyDescent="0.2"/>
    <row r="770" s="31" customFormat="1" ht="12.75" customHeight="1" x14ac:dyDescent="0.2"/>
    <row r="771" s="31" customFormat="1" ht="12.75" customHeight="1" x14ac:dyDescent="0.2"/>
    <row r="772" s="31" customFormat="1" ht="12.75" customHeight="1" x14ac:dyDescent="0.2"/>
    <row r="773" s="31" customFormat="1" ht="12.75" customHeight="1" x14ac:dyDescent="0.2"/>
    <row r="774" s="31" customFormat="1" ht="12.75" customHeight="1" x14ac:dyDescent="0.2"/>
    <row r="775" s="31" customFormat="1" ht="12.75" customHeight="1" x14ac:dyDescent="0.2"/>
    <row r="776" s="31" customFormat="1" ht="12.75" customHeight="1" x14ac:dyDescent="0.2"/>
    <row r="777" s="31" customFormat="1" ht="12.75" customHeight="1" x14ac:dyDescent="0.2"/>
    <row r="778" s="31" customFormat="1" ht="12.75" customHeight="1" x14ac:dyDescent="0.2"/>
    <row r="779" s="31" customFormat="1" ht="12.75" customHeight="1" x14ac:dyDescent="0.2"/>
    <row r="780" s="31" customFormat="1" ht="12.75" customHeight="1" x14ac:dyDescent="0.2"/>
    <row r="781" s="31" customFormat="1" ht="12.75" customHeight="1" x14ac:dyDescent="0.2"/>
    <row r="782" s="31" customFormat="1" ht="12.75" customHeight="1" x14ac:dyDescent="0.2"/>
    <row r="783" s="31" customFormat="1" ht="12.75" customHeight="1" x14ac:dyDescent="0.2"/>
    <row r="784" s="31" customFormat="1" ht="12.75" customHeight="1" x14ac:dyDescent="0.2"/>
    <row r="785" s="31" customFormat="1" ht="12.75" customHeight="1" x14ac:dyDescent="0.2"/>
    <row r="786" s="31" customFormat="1" ht="12.75" customHeight="1" x14ac:dyDescent="0.2"/>
    <row r="787" s="31" customFormat="1" ht="12.75" customHeight="1" x14ac:dyDescent="0.2"/>
    <row r="788" s="31" customFormat="1" ht="12.75" customHeight="1" x14ac:dyDescent="0.2"/>
    <row r="789" s="31" customFormat="1" ht="12.75" customHeight="1" x14ac:dyDescent="0.2"/>
    <row r="790" s="31" customFormat="1" ht="12.75" customHeight="1" x14ac:dyDescent="0.2"/>
    <row r="791" s="31" customFormat="1" ht="12.75" customHeight="1" x14ac:dyDescent="0.2"/>
    <row r="792" s="31" customFormat="1" ht="12.75" customHeight="1" x14ac:dyDescent="0.2"/>
    <row r="793" s="31" customFormat="1" ht="12.75" customHeight="1" x14ac:dyDescent="0.2"/>
    <row r="794" s="31" customFormat="1" ht="12.75" customHeight="1" x14ac:dyDescent="0.2"/>
    <row r="795" s="31" customFormat="1" ht="12.75" customHeight="1" x14ac:dyDescent="0.2"/>
    <row r="796" s="31" customFormat="1" ht="12.75" customHeight="1" x14ac:dyDescent="0.2"/>
    <row r="797" s="31" customFormat="1" ht="12.75" customHeight="1" x14ac:dyDescent="0.2"/>
    <row r="798" s="31" customFormat="1" ht="12.75" customHeight="1" x14ac:dyDescent="0.2"/>
    <row r="799" s="31" customFormat="1" ht="12.75" customHeight="1" x14ac:dyDescent="0.2"/>
    <row r="800" s="31" customFormat="1" ht="12.75" customHeight="1" x14ac:dyDescent="0.2"/>
    <row r="801" s="31" customFormat="1" ht="12.75" customHeight="1" x14ac:dyDescent="0.2"/>
    <row r="802" s="31" customFormat="1" ht="12.75" customHeight="1" x14ac:dyDescent="0.2"/>
    <row r="803" s="31" customFormat="1" ht="12.75" customHeight="1" x14ac:dyDescent="0.2"/>
    <row r="804" s="31" customFormat="1" ht="12.75" customHeight="1" x14ac:dyDescent="0.2"/>
    <row r="805" s="31" customFormat="1" ht="12.75" customHeight="1" x14ac:dyDescent="0.2"/>
    <row r="806" s="31" customFormat="1" ht="12.75" customHeight="1" x14ac:dyDescent="0.2"/>
    <row r="807" s="31" customFormat="1" ht="12.75" customHeight="1" x14ac:dyDescent="0.2"/>
    <row r="808" s="31" customFormat="1" ht="12.75" customHeight="1" x14ac:dyDescent="0.2"/>
    <row r="809" s="31" customFormat="1" ht="12.75" customHeight="1" x14ac:dyDescent="0.2"/>
    <row r="810" s="31" customFormat="1" ht="12.75" customHeight="1" x14ac:dyDescent="0.2"/>
    <row r="811" s="31" customFormat="1" ht="12.75" customHeight="1" x14ac:dyDescent="0.2"/>
    <row r="812" s="31" customFormat="1" ht="12.75" customHeight="1" x14ac:dyDescent="0.2"/>
    <row r="813" s="31" customFormat="1" ht="12.75" customHeight="1" x14ac:dyDescent="0.2"/>
    <row r="814" s="31" customFormat="1" ht="12.75" customHeight="1" x14ac:dyDescent="0.2"/>
    <row r="815" s="31" customFormat="1" ht="12.75" customHeight="1" x14ac:dyDescent="0.2"/>
    <row r="816" s="31" customFormat="1" ht="12.75" customHeight="1" x14ac:dyDescent="0.2"/>
    <row r="817" s="31" customFormat="1" ht="12.75" customHeight="1" x14ac:dyDescent="0.2"/>
    <row r="818" s="31" customFormat="1" ht="12.75" customHeight="1" x14ac:dyDescent="0.2"/>
    <row r="819" s="31" customFormat="1" ht="12.75" customHeight="1" x14ac:dyDescent="0.2"/>
    <row r="820" s="31" customFormat="1" ht="12.75" customHeight="1" x14ac:dyDescent="0.2"/>
    <row r="821" s="31" customFormat="1" ht="12.75" customHeight="1" x14ac:dyDescent="0.2"/>
    <row r="822" s="31" customFormat="1" ht="12.75" customHeight="1" x14ac:dyDescent="0.2"/>
    <row r="823" s="31" customFormat="1" ht="12.75" customHeight="1" x14ac:dyDescent="0.2"/>
    <row r="824" s="31" customFormat="1" ht="12.75" customHeight="1" x14ac:dyDescent="0.2"/>
    <row r="825" s="31" customFormat="1" ht="12.75" customHeight="1" x14ac:dyDescent="0.2"/>
    <row r="826" s="31" customFormat="1" ht="12.75" customHeight="1" x14ac:dyDescent="0.2"/>
    <row r="827" s="31" customFormat="1" ht="12.75" customHeight="1" x14ac:dyDescent="0.2"/>
    <row r="828" s="31" customFormat="1" ht="12.75" customHeight="1" x14ac:dyDescent="0.2"/>
    <row r="829" s="31" customFormat="1" ht="12.75" customHeight="1" x14ac:dyDescent="0.2"/>
    <row r="830" s="31" customFormat="1" ht="12.75" customHeight="1" x14ac:dyDescent="0.2"/>
    <row r="831" s="31" customFormat="1" ht="12.75" customHeight="1" x14ac:dyDescent="0.2"/>
    <row r="832" s="31" customFormat="1" ht="12.75" customHeight="1" x14ac:dyDescent="0.2"/>
    <row r="833" s="31" customFormat="1" ht="12.75" customHeight="1" x14ac:dyDescent="0.2"/>
    <row r="834" s="31" customFormat="1" ht="12.75" customHeight="1" x14ac:dyDescent="0.2"/>
    <row r="835" s="31" customFormat="1" ht="12.75" customHeight="1" x14ac:dyDescent="0.2"/>
    <row r="836" s="31" customFormat="1" ht="12.75" customHeight="1" x14ac:dyDescent="0.2"/>
    <row r="837" s="31" customFormat="1" ht="12.75" customHeight="1" x14ac:dyDescent="0.2"/>
    <row r="838" s="31" customFormat="1" ht="12.75" customHeight="1" x14ac:dyDescent="0.2"/>
    <row r="839" s="31" customFormat="1" ht="12.75" customHeight="1" x14ac:dyDescent="0.2"/>
    <row r="840" s="31" customFormat="1" ht="12.75" customHeight="1" x14ac:dyDescent="0.2"/>
    <row r="841" s="31" customFormat="1" ht="12.75" customHeight="1" x14ac:dyDescent="0.2"/>
    <row r="842" s="31" customFormat="1" ht="12.75" customHeight="1" x14ac:dyDescent="0.2"/>
    <row r="843" s="31" customFormat="1" ht="12.75" customHeight="1" x14ac:dyDescent="0.2"/>
    <row r="844" s="31" customFormat="1" ht="12.75" customHeight="1" x14ac:dyDescent="0.2"/>
    <row r="845" s="31" customFormat="1" ht="12.75" customHeight="1" x14ac:dyDescent="0.2"/>
    <row r="846" s="31" customFormat="1" ht="12.75" customHeight="1" x14ac:dyDescent="0.2"/>
    <row r="847" s="31" customFormat="1" ht="12.75" customHeight="1" x14ac:dyDescent="0.2"/>
    <row r="848" s="31" customFormat="1" ht="12.75" customHeight="1" x14ac:dyDescent="0.2"/>
    <row r="849" s="31" customFormat="1" ht="12.75" customHeight="1" x14ac:dyDescent="0.2"/>
    <row r="850" s="31" customFormat="1" ht="12.75" customHeight="1" x14ac:dyDescent="0.2"/>
    <row r="851" s="31" customFormat="1" ht="12.75" customHeight="1" x14ac:dyDescent="0.2"/>
    <row r="852" s="31" customFormat="1" ht="12.75" customHeight="1" x14ac:dyDescent="0.2"/>
    <row r="853" s="31" customFormat="1" ht="12.75" customHeight="1" x14ac:dyDescent="0.2"/>
    <row r="854" s="31" customFormat="1" ht="12.75" customHeight="1" x14ac:dyDescent="0.2"/>
    <row r="855" s="31" customFormat="1" ht="12.75" customHeight="1" x14ac:dyDescent="0.2"/>
    <row r="856" s="31" customFormat="1" ht="12.75" customHeight="1" x14ac:dyDescent="0.2"/>
    <row r="857" s="31" customFormat="1" ht="12.75" customHeight="1" x14ac:dyDescent="0.2"/>
    <row r="858" s="31" customFormat="1" ht="12.75" customHeight="1" x14ac:dyDescent="0.2"/>
    <row r="859" s="31" customFormat="1" ht="12.75" customHeight="1" x14ac:dyDescent="0.2"/>
    <row r="860" s="31" customFormat="1" ht="12.75" customHeight="1" x14ac:dyDescent="0.2"/>
    <row r="861" s="31" customFormat="1" ht="12.75" customHeight="1" x14ac:dyDescent="0.2"/>
    <row r="862" s="31" customFormat="1" ht="12.75" customHeight="1" x14ac:dyDescent="0.2"/>
    <row r="863" s="31" customFormat="1" ht="12.75" customHeight="1" x14ac:dyDescent="0.2"/>
    <row r="864" s="31" customFormat="1" ht="12.75" customHeight="1" x14ac:dyDescent="0.2"/>
    <row r="865" s="31" customFormat="1" ht="12.75" customHeight="1" x14ac:dyDescent="0.2"/>
    <row r="866" s="31" customFormat="1" ht="12.75" customHeight="1" x14ac:dyDescent="0.2"/>
    <row r="867" s="31" customFormat="1" ht="12.75" customHeight="1" x14ac:dyDescent="0.2"/>
    <row r="868" s="31" customFormat="1" ht="12.75" customHeight="1" x14ac:dyDescent="0.2"/>
    <row r="869" s="31" customFormat="1" ht="12.75" customHeight="1" x14ac:dyDescent="0.2"/>
    <row r="870" s="31" customFormat="1" ht="12.75" customHeight="1" x14ac:dyDescent="0.2"/>
    <row r="871" s="31" customFormat="1" ht="12.75" customHeight="1" x14ac:dyDescent="0.2"/>
    <row r="872" s="31" customFormat="1" ht="12.75" customHeight="1" x14ac:dyDescent="0.2"/>
    <row r="873" s="31" customFormat="1" ht="12.75" customHeight="1" x14ac:dyDescent="0.2"/>
    <row r="874" s="31" customFormat="1" ht="12.75" customHeight="1" x14ac:dyDescent="0.2"/>
    <row r="875" s="31" customFormat="1" ht="12.75" customHeight="1" x14ac:dyDescent="0.2"/>
    <row r="876" s="31" customFormat="1" ht="12.75" customHeight="1" x14ac:dyDescent="0.2"/>
    <row r="877" s="31" customFormat="1" ht="12.75" customHeight="1" x14ac:dyDescent="0.2"/>
    <row r="878" s="31" customFormat="1" ht="12.75" customHeight="1" x14ac:dyDescent="0.2"/>
    <row r="879" s="31" customFormat="1" ht="12.75" customHeight="1" x14ac:dyDescent="0.2"/>
    <row r="880" s="31" customFormat="1" ht="12.75" customHeight="1" x14ac:dyDescent="0.2"/>
    <row r="881" s="31" customFormat="1" ht="12.75" customHeight="1" x14ac:dyDescent="0.2"/>
    <row r="882" s="31" customFormat="1" ht="12.75" customHeight="1" x14ac:dyDescent="0.2"/>
    <row r="883" s="31" customFormat="1" ht="12.75" customHeight="1" x14ac:dyDescent="0.2"/>
    <row r="884" s="31" customFormat="1" ht="12.75" customHeight="1" x14ac:dyDescent="0.2"/>
    <row r="885" s="31" customFormat="1" ht="12.75" customHeight="1" x14ac:dyDescent="0.2"/>
    <row r="886" s="31" customFormat="1" ht="12.75" customHeight="1" x14ac:dyDescent="0.2"/>
    <row r="887" s="31" customFormat="1" ht="12.75" customHeight="1" x14ac:dyDescent="0.2"/>
    <row r="888" s="31" customFormat="1" ht="12.75" customHeight="1" x14ac:dyDescent="0.2"/>
    <row r="889" s="31" customFormat="1" ht="12.75" customHeight="1" x14ac:dyDescent="0.2"/>
    <row r="890" s="31" customFormat="1" ht="12.75" customHeight="1" x14ac:dyDescent="0.2"/>
    <row r="891" s="31" customFormat="1" ht="12.75" customHeight="1" x14ac:dyDescent="0.2"/>
    <row r="892" s="31" customFormat="1" ht="12.75" customHeight="1" x14ac:dyDescent="0.2"/>
    <row r="893" s="31" customFormat="1" ht="12.75" customHeight="1" x14ac:dyDescent="0.2"/>
    <row r="894" s="31" customFormat="1" ht="12.75" customHeight="1" x14ac:dyDescent="0.2"/>
    <row r="895" s="31" customFormat="1" ht="12.75" customHeight="1" x14ac:dyDescent="0.2"/>
    <row r="896" s="31" customFormat="1" ht="12.75" customHeight="1" x14ac:dyDescent="0.2"/>
    <row r="897" s="31" customFormat="1" ht="12.75" customHeight="1" x14ac:dyDescent="0.2"/>
    <row r="898" s="31" customFormat="1" ht="12.75" customHeight="1" x14ac:dyDescent="0.2"/>
    <row r="899" s="31" customFormat="1" ht="12.75" customHeight="1" x14ac:dyDescent="0.2"/>
    <row r="900" s="31" customFormat="1" ht="12.75" customHeight="1" x14ac:dyDescent="0.2"/>
    <row r="901" s="31" customFormat="1" ht="12.75" customHeight="1" x14ac:dyDescent="0.2"/>
    <row r="902" s="31" customFormat="1" ht="12.75" customHeight="1" x14ac:dyDescent="0.2"/>
    <row r="903" s="31" customFormat="1" ht="12.75" customHeight="1" x14ac:dyDescent="0.2"/>
    <row r="904" s="31" customFormat="1" ht="12.75" customHeight="1" x14ac:dyDescent="0.2"/>
    <row r="905" s="31" customFormat="1" ht="12.75" customHeight="1" x14ac:dyDescent="0.2"/>
    <row r="906" s="31" customFormat="1" ht="12.75" customHeight="1" x14ac:dyDescent="0.2"/>
    <row r="907" s="31" customFormat="1" ht="12.75" customHeight="1" x14ac:dyDescent="0.2"/>
    <row r="908" s="31" customFormat="1" ht="12.75" customHeight="1" x14ac:dyDescent="0.2"/>
    <row r="909" s="31" customFormat="1" ht="12.75" customHeight="1" x14ac:dyDescent="0.2"/>
    <row r="910" s="31" customFormat="1" ht="12.75" customHeight="1" x14ac:dyDescent="0.2"/>
    <row r="911" s="31" customFormat="1" ht="12.75" customHeight="1" x14ac:dyDescent="0.2"/>
    <row r="912" s="31" customFormat="1" ht="12.75" customHeight="1" x14ac:dyDescent="0.2"/>
    <row r="913" s="31" customFormat="1" ht="12.75" customHeight="1" x14ac:dyDescent="0.2"/>
    <row r="914" s="31" customFormat="1" ht="12.75" customHeight="1" x14ac:dyDescent="0.2"/>
    <row r="915" s="31" customFormat="1" ht="12.75" customHeight="1" x14ac:dyDescent="0.2"/>
    <row r="916" s="31" customFormat="1" ht="12.75" customHeight="1" x14ac:dyDescent="0.2"/>
    <row r="917" s="31" customFormat="1" ht="12.75" customHeight="1" x14ac:dyDescent="0.2"/>
    <row r="918" s="31" customFormat="1" ht="12.75" customHeight="1" x14ac:dyDescent="0.2"/>
    <row r="919" s="31" customFormat="1" ht="12.75" customHeight="1" x14ac:dyDescent="0.2"/>
    <row r="920" s="31" customFormat="1" ht="12.75" customHeight="1" x14ac:dyDescent="0.2"/>
    <row r="921" s="31" customFormat="1" ht="12.75" customHeight="1" x14ac:dyDescent="0.2"/>
    <row r="922" s="31" customFormat="1" ht="12.75" customHeight="1" x14ac:dyDescent="0.2"/>
    <row r="923" s="31" customFormat="1" ht="12.75" customHeight="1" x14ac:dyDescent="0.2"/>
    <row r="924" s="31" customFormat="1" ht="12.75" customHeight="1" x14ac:dyDescent="0.2"/>
    <row r="925" s="31" customFormat="1" ht="12.75" customHeight="1" x14ac:dyDescent="0.2"/>
    <row r="926" s="31" customFormat="1" ht="12.75" customHeight="1" x14ac:dyDescent="0.2"/>
    <row r="927" s="31" customFormat="1" ht="12.75" customHeight="1" x14ac:dyDescent="0.2"/>
    <row r="928" s="31" customFormat="1" ht="12.75" customHeight="1" x14ac:dyDescent="0.2"/>
    <row r="929" s="31" customFormat="1" ht="12.75" customHeight="1" x14ac:dyDescent="0.2"/>
    <row r="930" s="31" customFormat="1" ht="12.75" customHeight="1" x14ac:dyDescent="0.2"/>
    <row r="931" s="31" customFormat="1" ht="12.75" customHeight="1" x14ac:dyDescent="0.2"/>
    <row r="932" s="31" customFormat="1" ht="12.75" customHeight="1" x14ac:dyDescent="0.2"/>
    <row r="933" s="31" customFormat="1" ht="12.75" customHeight="1" x14ac:dyDescent="0.2"/>
    <row r="934" s="31" customFormat="1" ht="12.75" customHeight="1" x14ac:dyDescent="0.2"/>
    <row r="935" s="31" customFormat="1" ht="12.75" customHeight="1" x14ac:dyDescent="0.2"/>
    <row r="936" s="31" customFormat="1" ht="12.75" customHeight="1" x14ac:dyDescent="0.2"/>
    <row r="937" s="31" customFormat="1" ht="12.75" customHeight="1" x14ac:dyDescent="0.2"/>
    <row r="938" s="31" customFormat="1" ht="12.75" customHeight="1" x14ac:dyDescent="0.2"/>
    <row r="939" s="31" customFormat="1" ht="12.75" customHeight="1" x14ac:dyDescent="0.2"/>
    <row r="940" s="31" customFormat="1" ht="12.75" customHeight="1" x14ac:dyDescent="0.2"/>
    <row r="941" s="31" customFormat="1" ht="12.75" customHeight="1" x14ac:dyDescent="0.2"/>
    <row r="942" s="31" customFormat="1" ht="12.75" customHeight="1" x14ac:dyDescent="0.2"/>
    <row r="943" s="31" customFormat="1" ht="12.75" customHeight="1" x14ac:dyDescent="0.2"/>
    <row r="944" s="31" customFormat="1" ht="12.75" customHeight="1" x14ac:dyDescent="0.2"/>
    <row r="945" s="31" customFormat="1" ht="12.75" customHeight="1" x14ac:dyDescent="0.2"/>
    <row r="946" s="31" customFormat="1" ht="12.75" customHeight="1" x14ac:dyDescent="0.2"/>
    <row r="947" s="31" customFormat="1" ht="12.75" customHeight="1" x14ac:dyDescent="0.2"/>
    <row r="948" s="31" customFormat="1" ht="12.75" customHeight="1" x14ac:dyDescent="0.2"/>
    <row r="949" s="31" customFormat="1" ht="12.75" customHeight="1" x14ac:dyDescent="0.2"/>
    <row r="950" s="31" customFormat="1" ht="12.75" customHeight="1" x14ac:dyDescent="0.2"/>
    <row r="951" s="31" customFormat="1" ht="12.75" customHeight="1" x14ac:dyDescent="0.2"/>
    <row r="952" s="31" customFormat="1" ht="12.75" customHeight="1" x14ac:dyDescent="0.2"/>
    <row r="953" s="31" customFormat="1" ht="12.75" customHeight="1" x14ac:dyDescent="0.2"/>
    <row r="954" s="31" customFormat="1" ht="12.75" customHeight="1" x14ac:dyDescent="0.2"/>
    <row r="955" s="31" customFormat="1" ht="12.75" customHeight="1" x14ac:dyDescent="0.2"/>
    <row r="956" s="31" customFormat="1" ht="12.75" customHeight="1" x14ac:dyDescent="0.2"/>
    <row r="957" s="31" customFormat="1" ht="12.75" customHeight="1" x14ac:dyDescent="0.2"/>
    <row r="958" s="31" customFormat="1" ht="12.75" customHeight="1" x14ac:dyDescent="0.2"/>
    <row r="959" s="31" customFormat="1" ht="12.75" customHeight="1" x14ac:dyDescent="0.2"/>
    <row r="960" s="31" customFormat="1" ht="12.75" customHeight="1" x14ac:dyDescent="0.2"/>
    <row r="961" s="31" customFormat="1" ht="12.75" customHeight="1" x14ac:dyDescent="0.2"/>
    <row r="962" s="31" customFormat="1" ht="12.75" customHeight="1" x14ac:dyDescent="0.2"/>
    <row r="963" s="31" customFormat="1" ht="12.75" customHeight="1" x14ac:dyDescent="0.2"/>
    <row r="964" s="31" customFormat="1" ht="12.75" customHeight="1" x14ac:dyDescent="0.2"/>
    <row r="965" s="31" customFormat="1" ht="12.75" customHeight="1" x14ac:dyDescent="0.2"/>
    <row r="966" s="31" customFormat="1" ht="12.75" customHeight="1" x14ac:dyDescent="0.2"/>
    <row r="967" s="31" customFormat="1" ht="12.75" customHeight="1" x14ac:dyDescent="0.2"/>
    <row r="968" s="31" customFormat="1" ht="12.75" customHeight="1" x14ac:dyDescent="0.2"/>
    <row r="969" s="31" customFormat="1" ht="12.75" customHeight="1" x14ac:dyDescent="0.2"/>
    <row r="970" s="31" customFormat="1" ht="12.75" customHeight="1" x14ac:dyDescent="0.2"/>
    <row r="971" s="31" customFormat="1" ht="12.75" customHeight="1" x14ac:dyDescent="0.2"/>
    <row r="972" s="31" customFormat="1" ht="12.75" customHeight="1" x14ac:dyDescent="0.2"/>
    <row r="973" s="31" customFormat="1" ht="12.75" customHeight="1" x14ac:dyDescent="0.2"/>
    <row r="974" s="31" customFormat="1" ht="12.75" customHeight="1" x14ac:dyDescent="0.2"/>
    <row r="975" s="31" customFormat="1" ht="12.75" customHeight="1" x14ac:dyDescent="0.2"/>
    <row r="976" s="31" customFormat="1" ht="12.75" customHeight="1" x14ac:dyDescent="0.2"/>
    <row r="977" s="31" customFormat="1" ht="12.75" customHeight="1" x14ac:dyDescent="0.2"/>
    <row r="978" s="31" customFormat="1" ht="12.75" customHeight="1" x14ac:dyDescent="0.2"/>
    <row r="979" s="31" customFormat="1" ht="12.75" customHeight="1" x14ac:dyDescent="0.2"/>
    <row r="980" s="31" customFormat="1" ht="12.75" customHeight="1" x14ac:dyDescent="0.2"/>
    <row r="981" s="31" customFormat="1" ht="12.75" customHeight="1" x14ac:dyDescent="0.2"/>
    <row r="982" s="31" customFormat="1" ht="12.75" customHeight="1" x14ac:dyDescent="0.2"/>
    <row r="983" s="31" customFormat="1" ht="12.75" customHeight="1" x14ac:dyDescent="0.2"/>
    <row r="984" s="31" customFormat="1" ht="12.75" customHeight="1" x14ac:dyDescent="0.2"/>
    <row r="985" s="31" customFormat="1" ht="12.75" customHeight="1" x14ac:dyDescent="0.2"/>
    <row r="986" s="31" customFormat="1" ht="12.75" customHeight="1" x14ac:dyDescent="0.2"/>
    <row r="987" s="31" customFormat="1" ht="12.75" customHeight="1" x14ac:dyDescent="0.2"/>
    <row r="988" s="31" customFormat="1" ht="12.75" customHeight="1" x14ac:dyDescent="0.2"/>
    <row r="989" s="31" customFormat="1" ht="12.75" customHeight="1" x14ac:dyDescent="0.2"/>
    <row r="990" s="31" customFormat="1" ht="12.75" customHeight="1" x14ac:dyDescent="0.2"/>
    <row r="991" s="31" customFormat="1" ht="12.75" customHeight="1" x14ac:dyDescent="0.2"/>
    <row r="992" s="31" customFormat="1" ht="12.75" customHeight="1" x14ac:dyDescent="0.2"/>
    <row r="993" s="31" customFormat="1" ht="12.75" customHeight="1" x14ac:dyDescent="0.2"/>
    <row r="994" s="31" customFormat="1" ht="12.75" customHeight="1" x14ac:dyDescent="0.2"/>
    <row r="995" s="31" customFormat="1" ht="12.75" customHeight="1" x14ac:dyDescent="0.2"/>
    <row r="996" s="31" customFormat="1" ht="12.75" customHeight="1" x14ac:dyDescent="0.2"/>
    <row r="997" s="31" customFormat="1" ht="12.75" customHeight="1" x14ac:dyDescent="0.2"/>
    <row r="998" s="31" customFormat="1" ht="12.75" customHeight="1" x14ac:dyDescent="0.2"/>
    <row r="999" s="31" customFormat="1" ht="12.75" customHeight="1" x14ac:dyDescent="0.2"/>
    <row r="1000" s="31" customFormat="1" ht="12.75" customHeight="1" x14ac:dyDescent="0.2"/>
    <row r="1001" s="31" customFormat="1" ht="12.75" customHeight="1" x14ac:dyDescent="0.2"/>
  </sheetData>
  <mergeCells count="10">
    <mergeCell ref="A32:B32"/>
    <mergeCell ref="A34:B34"/>
    <mergeCell ref="A35:B35"/>
    <mergeCell ref="A1:G3"/>
    <mergeCell ref="A27:B27"/>
    <mergeCell ref="A28:B28"/>
    <mergeCell ref="A29:B29"/>
    <mergeCell ref="A30:G30"/>
    <mergeCell ref="A31:B31"/>
    <mergeCell ref="A33:B33"/>
  </mergeCells>
  <dataValidations count="1">
    <dataValidation type="list" allowBlank="1" showInputMessage="1" showErrorMessage="1" sqref="H2" xr:uid="{8A9744E8-2BC3-4A6B-A9EA-09FEED2DB0CB}">
      <formula1>C31:C35</formula1>
    </dataValidation>
  </dataValidation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zoomScale="130" zoomScaleNormal="130" workbookViewId="0">
      <selection activeCell="L21" sqref="L21"/>
    </sheetView>
  </sheetViews>
  <sheetFormatPr defaultColWidth="12.5703125" defaultRowHeight="15" customHeight="1" x14ac:dyDescent="0.2"/>
  <cols>
    <col min="1" max="4" width="15.7109375" customWidth="1"/>
    <col min="5" max="6" width="13.7109375" customWidth="1"/>
    <col min="7" max="7" width="14.7109375" customWidth="1"/>
    <col min="8" max="8" width="20.7109375" customWidth="1"/>
    <col min="9" max="26" width="8" customWidth="1"/>
  </cols>
  <sheetData>
    <row r="1" spans="1:8" ht="15.75" customHeight="1" x14ac:dyDescent="0.25">
      <c r="A1" s="72" t="s">
        <v>0</v>
      </c>
      <c r="B1" s="73"/>
      <c r="C1" s="73"/>
      <c r="D1" s="73"/>
      <c r="E1" s="73"/>
      <c r="F1" s="73"/>
      <c r="G1" s="73"/>
      <c r="H1" s="74"/>
    </row>
    <row r="2" spans="1:8" ht="16.5" customHeight="1" x14ac:dyDescent="0.25">
      <c r="A2" s="75" t="s">
        <v>1</v>
      </c>
      <c r="B2" s="76"/>
      <c r="C2" s="76"/>
      <c r="D2" s="76"/>
      <c r="E2" s="76"/>
      <c r="F2" s="76"/>
      <c r="G2" s="76"/>
      <c r="H2" s="77"/>
    </row>
    <row r="3" spans="1:8" ht="13.5" customHeight="1" x14ac:dyDescent="0.2"/>
    <row r="4" spans="1:8" ht="16.5" customHeight="1" thickBot="1" x14ac:dyDescent="0.3">
      <c r="A4" s="78">
        <v>39543</v>
      </c>
      <c r="B4" s="70"/>
      <c r="C4" s="70"/>
      <c r="D4" s="70"/>
      <c r="E4" s="70"/>
      <c r="F4" s="70"/>
      <c r="G4" s="70"/>
      <c r="H4" s="71"/>
    </row>
    <row r="5" spans="1:8" ht="13.5" customHeight="1" thickBot="1" x14ac:dyDescent="0.25">
      <c r="C5" s="22"/>
    </row>
    <row r="6" spans="1:8" ht="12.75" customHeight="1" x14ac:dyDescent="0.2">
      <c r="A6" s="1" t="s">
        <v>2</v>
      </c>
      <c r="B6" s="79">
        <v>6.45</v>
      </c>
      <c r="C6" s="2"/>
      <c r="D6" s="82" t="s">
        <v>37</v>
      </c>
      <c r="E6" s="24" t="s">
        <v>36</v>
      </c>
      <c r="F6" s="28" t="s">
        <v>39</v>
      </c>
    </row>
    <row r="7" spans="1:8" ht="13.5" customHeight="1" thickBot="1" x14ac:dyDescent="0.25">
      <c r="A7" s="3" t="s">
        <v>3</v>
      </c>
      <c r="B7" s="80"/>
      <c r="C7" s="2"/>
      <c r="D7" s="83"/>
      <c r="E7" s="25" t="s">
        <v>35</v>
      </c>
      <c r="F7" s="26" t="s">
        <v>38</v>
      </c>
    </row>
    <row r="8" spans="1:8" ht="13.5" customHeight="1" thickBot="1" x14ac:dyDescent="0.25">
      <c r="A8" s="23"/>
      <c r="B8" s="23"/>
      <c r="C8" s="2"/>
      <c r="D8" s="84"/>
      <c r="E8" s="27" t="s">
        <v>34</v>
      </c>
      <c r="F8" s="29" t="s">
        <v>40</v>
      </c>
    </row>
    <row r="9" spans="1:8" ht="13.5" customHeight="1" thickBot="1" x14ac:dyDescent="0.25"/>
    <row r="10" spans="1:8" ht="15.75" customHeight="1" x14ac:dyDescent="0.25">
      <c r="A10" s="81" t="s">
        <v>4</v>
      </c>
      <c r="B10" s="81" t="s">
        <v>5</v>
      </c>
      <c r="C10" s="81" t="s">
        <v>6</v>
      </c>
      <c r="D10" s="81" t="s">
        <v>7</v>
      </c>
      <c r="E10" s="81" t="s">
        <v>8</v>
      </c>
      <c r="F10" s="4" t="s">
        <v>9</v>
      </c>
      <c r="G10" s="4" t="s">
        <v>10</v>
      </c>
      <c r="H10" s="81" t="s">
        <v>11</v>
      </c>
    </row>
    <row r="11" spans="1:8" ht="16.5" customHeight="1" thickBot="1" x14ac:dyDescent="0.3">
      <c r="A11" s="80"/>
      <c r="B11" s="80"/>
      <c r="C11" s="80"/>
      <c r="D11" s="80"/>
      <c r="E11" s="80"/>
      <c r="F11" s="5" t="s">
        <v>12</v>
      </c>
      <c r="G11" s="5" t="s">
        <v>13</v>
      </c>
      <c r="H11" s="80"/>
    </row>
    <row r="12" spans="1:8" ht="16.5" customHeight="1" thickBot="1" x14ac:dyDescent="0.3">
      <c r="A12" s="30" t="s">
        <v>14</v>
      </c>
      <c r="B12" s="6" t="s">
        <v>15</v>
      </c>
      <c r="C12" s="6">
        <v>125445</v>
      </c>
      <c r="D12" s="6">
        <v>126548</v>
      </c>
      <c r="E12" s="6">
        <v>74</v>
      </c>
      <c r="F12" s="7">
        <f>(D12-C12)/E12</f>
        <v>14.905405405405405</v>
      </c>
      <c r="G12" s="8">
        <f t="shared" ref="G12:G17" si="0">F12*$B$6</f>
        <v>96.139864864864862</v>
      </c>
      <c r="H12" s="9" t="str">
        <f>IF(F12&lt;12,"ALTO",IF(F12&lt;=14,"MÉDIO","BAIXO"))</f>
        <v>BAIXO</v>
      </c>
    </row>
    <row r="13" spans="1:8" ht="16.5" customHeight="1" thickBot="1" x14ac:dyDescent="0.3">
      <c r="A13" s="30" t="s">
        <v>16</v>
      </c>
      <c r="B13" s="6" t="s">
        <v>17</v>
      </c>
      <c r="C13" s="6">
        <v>15541</v>
      </c>
      <c r="D13" s="6">
        <v>18454</v>
      </c>
      <c r="E13" s="6">
        <v>208</v>
      </c>
      <c r="F13" s="7">
        <f t="shared" ref="F13:F19" si="1">(D13-C13)/E13</f>
        <v>14.004807692307692</v>
      </c>
      <c r="G13" s="8">
        <f t="shared" si="0"/>
        <v>90.331009615384616</v>
      </c>
      <c r="H13" s="9" t="str">
        <f>IF(F13&lt;12,"ALTO",IF(F13&lt;=14,"MÉDIO","BAIXO"))</f>
        <v>BAIXO</v>
      </c>
    </row>
    <row r="14" spans="1:8" ht="16.5" customHeight="1" thickBot="1" x14ac:dyDescent="0.3">
      <c r="A14" s="30" t="s">
        <v>18</v>
      </c>
      <c r="B14" s="10" t="s">
        <v>19</v>
      </c>
      <c r="C14" s="10">
        <v>54781</v>
      </c>
      <c r="D14" s="10">
        <v>57842</v>
      </c>
      <c r="E14" s="10">
        <v>154</v>
      </c>
      <c r="F14" s="7">
        <f t="shared" si="1"/>
        <v>19.876623376623378</v>
      </c>
      <c r="G14" s="8">
        <f t="shared" si="0"/>
        <v>128.2042207792208</v>
      </c>
      <c r="H14" s="9" t="str">
        <f>IF(F14&lt;12,"ALTO",IF(F14&lt;=14,"MÉDIO","BAIXO"))</f>
        <v>BAIXO</v>
      </c>
    </row>
    <row r="15" spans="1:8" ht="16.5" customHeight="1" thickBot="1" x14ac:dyDescent="0.3">
      <c r="A15" s="30" t="s">
        <v>20</v>
      </c>
      <c r="B15" s="6" t="s">
        <v>21</v>
      </c>
      <c r="C15" s="6">
        <v>14524</v>
      </c>
      <c r="D15" s="6">
        <v>17845</v>
      </c>
      <c r="E15" s="6">
        <v>301</v>
      </c>
      <c r="F15" s="7">
        <f t="shared" si="1"/>
        <v>11.033222591362126</v>
      </c>
      <c r="G15" s="8">
        <f t="shared" si="0"/>
        <v>71.164285714285711</v>
      </c>
      <c r="H15" s="9" t="str">
        <f t="shared" ref="H15:H19" si="2">IF(F15&lt;12,"ALTO",IF(F15&lt;=14,"MÉDIO","BAIXO"))</f>
        <v>ALTO</v>
      </c>
    </row>
    <row r="16" spans="1:8" ht="16.5" customHeight="1" thickBot="1" x14ac:dyDescent="0.3">
      <c r="A16" s="30" t="s">
        <v>22</v>
      </c>
      <c r="B16" s="10" t="s">
        <v>23</v>
      </c>
      <c r="C16" s="10">
        <v>12450</v>
      </c>
      <c r="D16" s="10">
        <v>17542</v>
      </c>
      <c r="E16" s="10">
        <v>450</v>
      </c>
      <c r="F16" s="7">
        <f t="shared" si="1"/>
        <v>11.315555555555555</v>
      </c>
      <c r="G16" s="8">
        <f t="shared" si="0"/>
        <v>72.98533333333333</v>
      </c>
      <c r="H16" s="9" t="str">
        <f t="shared" si="2"/>
        <v>ALTO</v>
      </c>
    </row>
    <row r="17" spans="1:12" ht="16.5" customHeight="1" thickBot="1" x14ac:dyDescent="0.3">
      <c r="A17" s="30" t="s">
        <v>24</v>
      </c>
      <c r="B17" s="6" t="s">
        <v>25</v>
      </c>
      <c r="C17" s="6">
        <v>54875</v>
      </c>
      <c r="D17" s="6">
        <v>56874</v>
      </c>
      <c r="E17" s="6">
        <v>134</v>
      </c>
      <c r="F17" s="7">
        <f t="shared" si="1"/>
        <v>14.917910447761194</v>
      </c>
      <c r="G17" s="8">
        <f t="shared" si="0"/>
        <v>96.220522388059706</v>
      </c>
      <c r="H17" s="9" t="str">
        <f t="shared" si="2"/>
        <v>BAIXO</v>
      </c>
    </row>
    <row r="18" spans="1:12" ht="16.5" customHeight="1" thickBot="1" x14ac:dyDescent="0.3">
      <c r="A18" s="30" t="s">
        <v>26</v>
      </c>
      <c r="B18" s="10" t="s">
        <v>27</v>
      </c>
      <c r="C18" s="10">
        <v>25681</v>
      </c>
      <c r="D18" s="10">
        <v>31021</v>
      </c>
      <c r="E18" s="10">
        <v>302</v>
      </c>
      <c r="F18" s="7">
        <f t="shared" si="1"/>
        <v>17.682119205298012</v>
      </c>
      <c r="G18" s="8">
        <f t="shared" ref="G18:G19" si="3">F18*$B$6</f>
        <v>114.04966887417218</v>
      </c>
      <c r="H18" s="9" t="str">
        <f t="shared" si="2"/>
        <v>BAIXO</v>
      </c>
    </row>
    <row r="19" spans="1:12" ht="16.5" customHeight="1" thickBot="1" x14ac:dyDescent="0.3">
      <c r="A19" s="30" t="s">
        <v>28</v>
      </c>
      <c r="B19" s="6" t="s">
        <v>29</v>
      </c>
      <c r="C19" s="6">
        <v>32541</v>
      </c>
      <c r="D19" s="6">
        <v>36545</v>
      </c>
      <c r="E19" s="6">
        <v>251</v>
      </c>
      <c r="F19" s="7">
        <f t="shared" si="1"/>
        <v>15.952191235059761</v>
      </c>
      <c r="G19" s="8">
        <f t="shared" si="3"/>
        <v>102.89163346613546</v>
      </c>
      <c r="H19" s="9" t="str">
        <f t="shared" si="2"/>
        <v>BAIXO</v>
      </c>
    </row>
    <row r="20" spans="1:12" ht="12.75" customHeight="1" x14ac:dyDescent="0.2"/>
    <row r="21" spans="1:12" ht="16.5" customHeight="1" x14ac:dyDescent="0.25">
      <c r="A21" s="85" t="s">
        <v>30</v>
      </c>
      <c r="B21" s="86"/>
      <c r="C21" s="86"/>
      <c r="D21" s="86"/>
      <c r="E21" s="86"/>
      <c r="F21" s="86"/>
      <c r="G21" s="86"/>
      <c r="H21" s="87"/>
      <c r="L21" s="41"/>
    </row>
    <row r="22" spans="1:12" ht="16.5" customHeight="1" x14ac:dyDescent="0.25">
      <c r="A22" s="69" t="s">
        <v>31</v>
      </c>
      <c r="B22" s="70"/>
      <c r="C22" s="70"/>
      <c r="D22" s="71"/>
      <c r="E22" s="40" t="str">
        <f>INDEX(A12:A19,MATCH(MIN(F12:F19),F12:F19,0))</f>
        <v>Audi</v>
      </c>
      <c r="F22" s="12"/>
      <c r="G22" s="13"/>
      <c r="H22" s="14"/>
    </row>
    <row r="23" spans="1:12" ht="16.5" customHeight="1" x14ac:dyDescent="0.25">
      <c r="A23" s="69" t="s">
        <v>32</v>
      </c>
      <c r="B23" s="70"/>
      <c r="C23" s="70"/>
      <c r="D23" s="71"/>
      <c r="E23" s="11" t="str">
        <f>INDEX(A12:A19,MATCH(MAX(F12:F19),F12:F19,0))</f>
        <v>Fox</v>
      </c>
      <c r="F23" s="15"/>
      <c r="G23" s="16"/>
      <c r="H23" s="17"/>
    </row>
    <row r="24" spans="1:12" ht="16.5" customHeight="1" x14ac:dyDescent="0.25">
      <c r="A24" s="69" t="s">
        <v>33</v>
      </c>
      <c r="B24" s="70"/>
      <c r="C24" s="70"/>
      <c r="D24" s="71"/>
      <c r="E24" s="18">
        <f>COUNTIF(E12:E19,"&gt;200")</f>
        <v>5</v>
      </c>
      <c r="F24" s="19"/>
      <c r="G24" s="20"/>
      <c r="H24" s="21"/>
    </row>
    <row r="25" spans="1:12" ht="12.75" customHeight="1" x14ac:dyDescent="0.2"/>
    <row r="26" spans="1:12" ht="12.75" customHeight="1" x14ac:dyDescent="0.2"/>
    <row r="27" spans="1:12" ht="12.75" customHeight="1" x14ac:dyDescent="0.2"/>
    <row r="28" spans="1:12" ht="12.75" customHeight="1" x14ac:dyDescent="0.2"/>
    <row r="29" spans="1:12" ht="12.75" customHeight="1" x14ac:dyDescent="0.2"/>
    <row r="30" spans="1:12" ht="12.75" customHeight="1" x14ac:dyDescent="0.2"/>
    <row r="31" spans="1:12" ht="12.75" customHeight="1" x14ac:dyDescent="0.2"/>
    <row r="32" spans="1:1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</sheetData>
  <mergeCells count="15">
    <mergeCell ref="A23:D23"/>
    <mergeCell ref="A24:D24"/>
    <mergeCell ref="A1:H1"/>
    <mergeCell ref="A2:H2"/>
    <mergeCell ref="A4:H4"/>
    <mergeCell ref="B6:B7"/>
    <mergeCell ref="A10:A11"/>
    <mergeCell ref="B10:B11"/>
    <mergeCell ref="C10:C11"/>
    <mergeCell ref="D6:D8"/>
    <mergeCell ref="D10:D11"/>
    <mergeCell ref="E10:E11"/>
    <mergeCell ref="H10:H11"/>
    <mergeCell ref="A21:H21"/>
    <mergeCell ref="A22:D22"/>
  </mergeCells>
  <pageMargins left="0.7" right="0.7" top="0.75" bottom="0.75" header="0" footer="0"/>
  <pageSetup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2.5703125" defaultRowHeight="15" customHeight="1" x14ac:dyDescent="0.2"/>
  <cols>
    <col min="1" max="26" width="8" customWidth="1"/>
  </cols>
  <sheetData>
    <row r="1" ht="12.75" customHeight="1" x14ac:dyDescent="0.2"/>
    <row r="2" ht="12.75" customHeight="1" x14ac:dyDescent="0.2"/>
    <row r="3" ht="12.75" customHeight="1" x14ac:dyDescent="0.2"/>
    <row r="4" ht="12.75" customHeight="1" x14ac:dyDescent="0.2"/>
    <row r="5" ht="12.75" customHeight="1" x14ac:dyDescent="0.2"/>
    <row r="6" ht="12.75" customHeight="1" x14ac:dyDescent="0.2"/>
    <row r="7" ht="12.75" customHeight="1" x14ac:dyDescent="0.2"/>
    <row r="8" ht="12.75" customHeight="1" x14ac:dyDescent="0.2"/>
    <row r="9" ht="12.75" customHeight="1" x14ac:dyDescent="0.2"/>
    <row r="10" ht="12.75" customHeight="1" x14ac:dyDescent="0.2"/>
    <row r="11" ht="12.75" customHeight="1" x14ac:dyDescent="0.2"/>
    <row r="12" ht="12.75" customHeight="1" x14ac:dyDescent="0.2"/>
    <row r="13" ht="12.75" customHeight="1" x14ac:dyDescent="0.2"/>
    <row r="14" ht="12.75" customHeight="1" x14ac:dyDescent="0.2"/>
    <row r="15" ht="12.75" customHeight="1" x14ac:dyDescent="0.2"/>
    <row r="16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Lista Compras</vt:lpstr>
      <vt:lpstr>Kilometragem</vt:lpstr>
      <vt:lpstr>Plan3</vt:lpstr>
      <vt:lpstr>SECAO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Aluno_16</dc:creator>
  <cp:lastModifiedBy>HENRIQUE FRAGOSO FAGUNDES</cp:lastModifiedBy>
  <dcterms:created xsi:type="dcterms:W3CDTF">2006-04-04T22:11:05Z</dcterms:created>
  <dcterms:modified xsi:type="dcterms:W3CDTF">2026-05-04T12:13:44Z</dcterms:modified>
</cp:coreProperties>
</file>