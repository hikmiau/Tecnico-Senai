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nrique_fagundes\Documents\"/>
    </mc:Choice>
  </mc:AlternateContent>
  <xr:revisionPtr revIDLastSave="0" documentId="13_ncr:1_{64324C8F-D707-44E4-AA64-B6E0114EDD7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ROLE" sheetId="1" r:id="rId1"/>
    <sheet name="ESTATÍSTICAS" sheetId="2" r:id="rId2"/>
    <sheet name="Planilha1" sheetId="4" r:id="rId3"/>
    <sheet name="CLASS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czS4lyiRwBltQE/WdjxpAc0qAXrbmLj2EMoFgCiwfw0="/>
    </ext>
  </extLst>
</workbook>
</file>

<file path=xl/calcChain.xml><?xml version="1.0" encoding="utf-8"?>
<calcChain xmlns="http://schemas.openxmlformats.org/spreadsheetml/2006/main">
  <c r="H7" i="4" l="1"/>
  <c r="F7" i="4"/>
  <c r="D7" i="4"/>
  <c r="B7" i="4"/>
  <c r="H4" i="4"/>
  <c r="F4" i="4"/>
  <c r="D4" i="4"/>
  <c r="B4" i="4"/>
  <c r="B4" i="2"/>
  <c r="H4" i="1"/>
  <c r="G4" i="1"/>
  <c r="B5" i="2"/>
  <c r="B6" i="2"/>
  <c r="B7" i="2"/>
  <c r="B8" i="2"/>
  <c r="B9" i="2"/>
  <c r="B10" i="2"/>
  <c r="B3" i="2"/>
  <c r="J4" i="1"/>
  <c r="H5" i="1"/>
  <c r="H6" i="1"/>
  <c r="H7" i="1"/>
  <c r="J7" i="1" s="1"/>
  <c r="H8" i="1"/>
  <c r="H9" i="1"/>
  <c r="H10" i="1"/>
  <c r="H11" i="1"/>
  <c r="H12" i="1"/>
  <c r="H13" i="1"/>
  <c r="H14" i="1"/>
  <c r="H15" i="1"/>
  <c r="J15" i="1" s="1"/>
  <c r="H16" i="1"/>
  <c r="J16" i="1" s="1"/>
  <c r="H17" i="1"/>
  <c r="J17" i="1" s="1"/>
  <c r="H18" i="1"/>
  <c r="H19" i="1"/>
  <c r="H20" i="1"/>
  <c r="H21" i="1"/>
  <c r="H22" i="1"/>
  <c r="H23" i="1"/>
  <c r="H24" i="1"/>
  <c r="H25" i="1"/>
  <c r="H26" i="1"/>
  <c r="H27" i="1"/>
  <c r="H28" i="1"/>
  <c r="J28" i="1" s="1"/>
  <c r="H29" i="1"/>
  <c r="H30" i="1"/>
  <c r="J30" i="1" s="1"/>
  <c r="H31" i="1"/>
  <c r="H32" i="1"/>
  <c r="H33" i="1"/>
  <c r="H34" i="1"/>
  <c r="H35" i="1"/>
  <c r="H36" i="1"/>
  <c r="J36" i="1" s="1"/>
  <c r="H37" i="1"/>
  <c r="H38" i="1"/>
  <c r="H39" i="1"/>
  <c r="J39" i="1" s="1"/>
  <c r="H40" i="1"/>
  <c r="H41" i="1"/>
  <c r="H42" i="1"/>
  <c r="J42" i="1" s="1"/>
  <c r="H43" i="1"/>
  <c r="H44" i="1"/>
  <c r="J44" i="1" s="1"/>
  <c r="H45" i="1"/>
  <c r="H46" i="1"/>
  <c r="H47" i="1"/>
  <c r="J47" i="1" s="1"/>
  <c r="H48" i="1"/>
  <c r="H49" i="1"/>
  <c r="H50" i="1"/>
  <c r="H51" i="1"/>
  <c r="H52" i="1"/>
  <c r="H53" i="1"/>
  <c r="H54" i="1"/>
  <c r="H55" i="1"/>
  <c r="J55" i="1" s="1"/>
  <c r="H56" i="1"/>
  <c r="J56" i="1" s="1"/>
  <c r="H57" i="1"/>
  <c r="J57" i="1" s="1"/>
  <c r="H58" i="1"/>
  <c r="H59" i="1"/>
  <c r="H60" i="1"/>
  <c r="H61" i="1"/>
  <c r="H62" i="1"/>
  <c r="H63" i="1"/>
  <c r="H64" i="1"/>
  <c r="H65" i="1"/>
  <c r="H66" i="1"/>
  <c r="H67" i="1"/>
  <c r="H68" i="1"/>
  <c r="J68" i="1" s="1"/>
  <c r="H69" i="1"/>
  <c r="H70" i="1"/>
  <c r="J70" i="1" s="1"/>
  <c r="H71" i="1"/>
  <c r="J71" i="1" s="1"/>
  <c r="H72" i="1"/>
  <c r="H73" i="1"/>
  <c r="H74" i="1"/>
  <c r="H75" i="1"/>
  <c r="H76" i="1"/>
  <c r="J76" i="1" s="1"/>
  <c r="H77" i="1"/>
  <c r="H78" i="1"/>
  <c r="H79" i="1"/>
  <c r="J79" i="1" s="1"/>
  <c r="H80" i="1"/>
  <c r="H81" i="1"/>
  <c r="H82" i="1"/>
  <c r="J82" i="1" s="1"/>
  <c r="H83" i="1"/>
  <c r="H84" i="1"/>
  <c r="J84" i="1" s="1"/>
  <c r="H85" i="1"/>
  <c r="H86" i="1"/>
  <c r="J86" i="1" s="1"/>
  <c r="H87" i="1"/>
  <c r="J87" i="1" s="1"/>
  <c r="H88" i="1"/>
  <c r="H89" i="1"/>
  <c r="H90" i="1"/>
  <c r="H91" i="1"/>
  <c r="H92" i="1"/>
  <c r="J92" i="1" s="1"/>
  <c r="H93" i="1"/>
  <c r="H94" i="1"/>
  <c r="H95" i="1"/>
  <c r="J95" i="1" s="1"/>
  <c r="H96" i="1"/>
  <c r="H97" i="1"/>
  <c r="H98" i="1"/>
  <c r="J98" i="1" s="1"/>
  <c r="H99" i="1"/>
  <c r="H100" i="1"/>
  <c r="J100" i="1" s="1"/>
  <c r="H101" i="1"/>
  <c r="H102" i="1"/>
  <c r="H103" i="1"/>
  <c r="J103" i="1" s="1"/>
  <c r="H104" i="1"/>
  <c r="H105" i="1"/>
  <c r="J105" i="1" s="1"/>
  <c r="H106" i="1"/>
  <c r="H107" i="1"/>
  <c r="H108" i="1"/>
  <c r="J108" i="1" s="1"/>
  <c r="H109" i="1"/>
  <c r="H110" i="1"/>
  <c r="H111" i="1"/>
  <c r="J111" i="1" s="1"/>
  <c r="H112" i="1"/>
  <c r="H113" i="1"/>
  <c r="H114" i="1"/>
  <c r="H115" i="1"/>
  <c r="H116" i="1"/>
  <c r="H117" i="1"/>
  <c r="H118" i="1"/>
  <c r="H119" i="1"/>
  <c r="J119" i="1" s="1"/>
  <c r="H120" i="1"/>
  <c r="J120" i="1" s="1"/>
  <c r="H121" i="1"/>
  <c r="J121" i="1" s="1"/>
  <c r="H122" i="1"/>
  <c r="H123" i="1"/>
  <c r="H124" i="1"/>
  <c r="H125" i="1"/>
  <c r="H126" i="1"/>
  <c r="H127" i="1"/>
  <c r="H128" i="1"/>
  <c r="H129" i="1"/>
  <c r="H130" i="1"/>
  <c r="H131" i="1"/>
  <c r="H132" i="1"/>
  <c r="J132" i="1" s="1"/>
  <c r="H133" i="1"/>
  <c r="H134" i="1"/>
  <c r="J134" i="1" s="1"/>
  <c r="H135" i="1"/>
  <c r="J135" i="1" s="1"/>
  <c r="H136" i="1"/>
  <c r="J136" i="1" s="1"/>
  <c r="H137" i="1"/>
  <c r="H138" i="1"/>
  <c r="H139" i="1"/>
  <c r="H140" i="1"/>
  <c r="J140" i="1" s="1"/>
  <c r="H141" i="1"/>
  <c r="H142" i="1"/>
  <c r="H143" i="1"/>
  <c r="J143" i="1" s="1"/>
  <c r="H144" i="1"/>
  <c r="H145" i="1"/>
  <c r="H146" i="1"/>
  <c r="J146" i="1" s="1"/>
  <c r="H147" i="1"/>
  <c r="H148" i="1"/>
  <c r="J148" i="1" s="1"/>
  <c r="H149" i="1"/>
  <c r="H150" i="1"/>
  <c r="J150" i="1" s="1"/>
  <c r="H151" i="1"/>
  <c r="J151" i="1" s="1"/>
  <c r="H152" i="1"/>
  <c r="H153" i="1"/>
  <c r="H154" i="1"/>
  <c r="H155" i="1"/>
  <c r="H156" i="1"/>
  <c r="J156" i="1" s="1"/>
  <c r="H157" i="1"/>
  <c r="H158" i="1"/>
  <c r="J9" i="1"/>
  <c r="J10" i="1"/>
  <c r="J11" i="1"/>
  <c r="J18" i="1"/>
  <c r="J19" i="1"/>
  <c r="J25" i="1"/>
  <c r="J26" i="1"/>
  <c r="J27" i="1"/>
  <c r="J33" i="1"/>
  <c r="J34" i="1"/>
  <c r="J35" i="1"/>
  <c r="J41" i="1"/>
  <c r="J43" i="1"/>
  <c r="J45" i="1"/>
  <c r="J49" i="1"/>
  <c r="J50" i="1"/>
  <c r="J51" i="1"/>
  <c r="J58" i="1"/>
  <c r="J59" i="1"/>
  <c r="J65" i="1"/>
  <c r="J66" i="1"/>
  <c r="J67" i="1"/>
  <c r="J73" i="1"/>
  <c r="J74" i="1"/>
  <c r="J75" i="1"/>
  <c r="J81" i="1"/>
  <c r="J83" i="1"/>
  <c r="J89" i="1"/>
  <c r="J90" i="1"/>
  <c r="J91" i="1"/>
  <c r="J97" i="1"/>
  <c r="J99" i="1"/>
  <c r="J106" i="1"/>
  <c r="J107" i="1"/>
  <c r="J113" i="1"/>
  <c r="J114" i="1"/>
  <c r="J115" i="1"/>
  <c r="J122" i="1"/>
  <c r="J123" i="1"/>
  <c r="J129" i="1"/>
  <c r="J130" i="1"/>
  <c r="J131" i="1"/>
  <c r="J137" i="1"/>
  <c r="J138" i="1"/>
  <c r="J139" i="1"/>
  <c r="J145" i="1"/>
  <c r="J147" i="1"/>
  <c r="J153" i="1"/>
  <c r="J154" i="1"/>
  <c r="J155" i="1"/>
  <c r="J5" i="1"/>
  <c r="J6" i="1"/>
  <c r="J8" i="1"/>
  <c r="J12" i="1"/>
  <c r="J13" i="1"/>
  <c r="J14" i="1"/>
  <c r="J20" i="1"/>
  <c r="J21" i="1"/>
  <c r="J22" i="1"/>
  <c r="J23" i="1"/>
  <c r="J24" i="1"/>
  <c r="J29" i="1"/>
  <c r="J31" i="1"/>
  <c r="J32" i="1"/>
  <c r="J37" i="1"/>
  <c r="J38" i="1"/>
  <c r="J40" i="1"/>
  <c r="J46" i="1"/>
  <c r="J48" i="1"/>
  <c r="J52" i="1"/>
  <c r="J53" i="1"/>
  <c r="J54" i="1"/>
  <c r="J60" i="1"/>
  <c r="J61" i="1"/>
  <c r="J62" i="1"/>
  <c r="J63" i="1"/>
  <c r="J64" i="1"/>
  <c r="J69" i="1"/>
  <c r="J72" i="1"/>
  <c r="J77" i="1"/>
  <c r="J78" i="1"/>
  <c r="J80" i="1"/>
  <c r="J85" i="1"/>
  <c r="J88" i="1"/>
  <c r="J93" i="1"/>
  <c r="J94" i="1"/>
  <c r="J96" i="1"/>
  <c r="J101" i="1"/>
  <c r="J102" i="1"/>
  <c r="J104" i="1"/>
  <c r="J109" i="1"/>
  <c r="J110" i="1"/>
  <c r="J112" i="1"/>
  <c r="J116" i="1"/>
  <c r="J117" i="1"/>
  <c r="J118" i="1"/>
  <c r="J124" i="1"/>
  <c r="J125" i="1"/>
  <c r="J126" i="1"/>
  <c r="J127" i="1"/>
  <c r="J128" i="1"/>
  <c r="J133" i="1"/>
  <c r="J141" i="1"/>
  <c r="J142" i="1"/>
  <c r="J144" i="1"/>
  <c r="J149" i="1"/>
  <c r="J152" i="1"/>
  <c r="J157" i="1"/>
  <c r="J15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ID#AAAB3QmDMCQ
PCTITO    (2026-04-14 16:38:10)
Prof Irlândio: Inserir com com formula os valores referentes a classe reservada.</t>
        </r>
      </text>
    </comment>
    <comment ref="F3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ID#AAAB3QmDMCU
Prof Irlândio    (2026-04-14 16:38:10)
Calcular quantidade de dárias.</t>
        </r>
      </text>
    </comment>
    <comment ref="J3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ID#AAAB3QmDMCY
PCTITO    (2026-04-14 16:38:10)
Prof Irlândio:Calcular o Valor total.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Tgr+KOZaqCdfx07cdUwN0Yl1FQ=="/>
    </ext>
  </extLst>
</comments>
</file>

<file path=xl/sharedStrings.xml><?xml version="1.0" encoding="utf-8"?>
<sst xmlns="http://schemas.openxmlformats.org/spreadsheetml/2006/main" count="402" uniqueCount="184">
  <si>
    <t>CONTROLE DE DIÁRIAS.</t>
  </si>
  <si>
    <t>HÓSPEDES</t>
  </si>
  <si>
    <t>CLASSE</t>
  </si>
  <si>
    <t>VALOR</t>
  </si>
  <si>
    <t>ENTRADA</t>
  </si>
  <si>
    <t>SAÍDA</t>
  </si>
  <si>
    <t>QTE. DIÁRIAS</t>
  </si>
  <si>
    <t>SUBTOTAL</t>
  </si>
  <si>
    <t>DECONTO</t>
  </si>
  <si>
    <t>FRIGOBAR</t>
  </si>
  <si>
    <t>TOTAL</t>
  </si>
  <si>
    <t>Antônio da Silva</t>
  </si>
  <si>
    <t>Gilberto Lacerda</t>
  </si>
  <si>
    <t>PRESIDENCIAL</t>
  </si>
  <si>
    <t>Bruno de Matos</t>
  </si>
  <si>
    <t>João Silva</t>
  </si>
  <si>
    <t>POPULAR</t>
  </si>
  <si>
    <t>Camille Ventura</t>
  </si>
  <si>
    <t>Maria Souza</t>
  </si>
  <si>
    <t>STANDART</t>
  </si>
  <si>
    <t>Daniel Leite</t>
  </si>
  <si>
    <t>Leonardo Tavares</t>
  </si>
  <si>
    <t>ALTA</t>
  </si>
  <si>
    <t>Davi Tonni</t>
  </si>
  <si>
    <t>TANIA</t>
  </si>
  <si>
    <t>DOUBLE</t>
  </si>
  <si>
    <t>Eduardo Filho</t>
  </si>
  <si>
    <t>Heloísa Teles</t>
  </si>
  <si>
    <t>EXECUTIVA</t>
  </si>
  <si>
    <t>Elisa Ferrari</t>
  </si>
  <si>
    <t>Carlos Pereira</t>
  </si>
  <si>
    <t>Eric Dias</t>
  </si>
  <si>
    <t>Ana Oliveira</t>
  </si>
  <si>
    <t>Gustavo Silva</t>
  </si>
  <si>
    <t>Juliana Mendes</t>
  </si>
  <si>
    <t>Gustavo Filho</t>
  </si>
  <si>
    <t>Marco Aurélio</t>
  </si>
  <si>
    <t>Gustavo Minatto</t>
  </si>
  <si>
    <t>Ismael Batista</t>
  </si>
  <si>
    <t>Heloíse Kisner</t>
  </si>
  <si>
    <t>Pedro Santos</t>
  </si>
  <si>
    <t>Juliana Costa</t>
  </si>
  <si>
    <t>Gustavo Rocha</t>
  </si>
  <si>
    <t>Jéssica Paiva</t>
  </si>
  <si>
    <t>Lucas Almeida</t>
  </si>
  <si>
    <t>Fernanda Rocha</t>
  </si>
  <si>
    <t>Camila Nogueira</t>
  </si>
  <si>
    <t>Kelvin Moraes</t>
  </si>
  <si>
    <t>Rafael Martins</t>
  </si>
  <si>
    <t>Beatriz Gomes</t>
  </si>
  <si>
    <t>Bruno Teixeira</t>
  </si>
  <si>
    <t>Lídia Fagundes</t>
  </si>
  <si>
    <t>Bruno Ribeiro</t>
  </si>
  <si>
    <t>Camila Fernandes</t>
  </si>
  <si>
    <t>Amanda Ribeiro</t>
  </si>
  <si>
    <t>Murilo Bastos</t>
  </si>
  <si>
    <t>Valéria Noronha</t>
  </si>
  <si>
    <t>Diego Carvalho</t>
  </si>
  <si>
    <t>Larissa Barbosa</t>
  </si>
  <si>
    <t>Daniel Martins</t>
  </si>
  <si>
    <t>Nádia Severo</t>
  </si>
  <si>
    <t>Gustavo Nunes</t>
  </si>
  <si>
    <t>Patrícia Teixeira</t>
  </si>
  <si>
    <t>Fernanda Alves</t>
  </si>
  <si>
    <t>Osmar Goulart</t>
  </si>
  <si>
    <t>Silvana Peçanha</t>
  </si>
  <si>
    <t>André Lima</t>
  </si>
  <si>
    <t>João Gabriel Spegiorin Maciel</t>
  </si>
  <si>
    <t>Bianca Lopes</t>
  </si>
  <si>
    <t>João Victor</t>
  </si>
  <si>
    <t>Rafael Duarte</t>
  </si>
  <si>
    <t>Kaio Levi Pollhein</t>
  </si>
  <si>
    <t>Lucas Souza</t>
  </si>
  <si>
    <t>Lara Taciana</t>
  </si>
  <si>
    <t>Leonardo Muller Mandel</t>
  </si>
  <si>
    <t>MARIA</t>
  </si>
  <si>
    <t>Letícia Gomes</t>
  </si>
  <si>
    <t>Maria Clara Bardt Borges</t>
  </si>
  <si>
    <t>Pâmela Dorneles</t>
  </si>
  <si>
    <t>Luis Gustavo</t>
  </si>
  <si>
    <t>Túlio Guimarães</t>
  </si>
  <si>
    <t>Luiz Octávio Isolani Theis</t>
  </si>
  <si>
    <t>Eduardo Freitas</t>
  </si>
  <si>
    <t>Renata Moreira</t>
  </si>
  <si>
    <t>Juliane Castro</t>
  </si>
  <si>
    <t>Martin Francisco</t>
  </si>
  <si>
    <t>Luana Guedes</t>
  </si>
  <si>
    <t>Matheus Dias Estacio</t>
  </si>
  <si>
    <t>Mateus Portela</t>
  </si>
  <si>
    <t>Matheus dos Santos</t>
  </si>
  <si>
    <t>Renan Pimentel</t>
  </si>
  <si>
    <t>Matheus Howe</t>
  </si>
  <si>
    <t>Ulisses Fialho</t>
  </si>
  <si>
    <t>Matheus Machado Montagna</t>
  </si>
  <si>
    <t>Marcelo Araujo</t>
  </si>
  <si>
    <t>Matheus Lima</t>
  </si>
  <si>
    <t>Aline Melo</t>
  </si>
  <si>
    <t>Diego Rocha</t>
  </si>
  <si>
    <t>WELLIGTON</t>
  </si>
  <si>
    <t>Alexandre Cunha</t>
  </si>
  <si>
    <t>Bruna Siqueira</t>
  </si>
  <si>
    <t>Caio Peixoto</t>
  </si>
  <si>
    <t>Débora Antunes</t>
  </si>
  <si>
    <t>Everton Pacheco</t>
  </si>
  <si>
    <t>Natália Brandão</t>
  </si>
  <si>
    <t>Otávio Correia</t>
  </si>
  <si>
    <t>Felipe Castro</t>
  </si>
  <si>
    <t>Daniela Pires</t>
  </si>
  <si>
    <t>Larissa Mendes</t>
  </si>
  <si>
    <t>Paula Dantas</t>
  </si>
  <si>
    <t>Ricardo Azeredo</t>
  </si>
  <si>
    <t>Rodrigo Alves</t>
  </si>
  <si>
    <t>Vanessa Duarte</t>
  </si>
  <si>
    <t>Sabrina Coelho</t>
  </si>
  <si>
    <t>Tadeu Monteiro</t>
  </si>
  <si>
    <t>Tiago Ramos</t>
  </si>
  <si>
    <t>Carla Moura</t>
  </si>
  <si>
    <t>Fabiana Queiroz</t>
  </si>
  <si>
    <t>Gabriel Furtado</t>
  </si>
  <si>
    <t>Helena Macedo</t>
  </si>
  <si>
    <t>Igor Vasconcelos</t>
  </si>
  <si>
    <t>Ubirajara Neves</t>
  </si>
  <si>
    <t>Vitor Sarmento</t>
  </si>
  <si>
    <t>Leandro Cardoso</t>
  </si>
  <si>
    <t>Priscila Fonseca</t>
  </si>
  <si>
    <t>Wellington Braga</t>
  </si>
  <si>
    <t>Yara Campelo</t>
  </si>
  <si>
    <t>Henrique Batista</t>
  </si>
  <si>
    <t>Juliano Farias</t>
  </si>
  <si>
    <t>Zeca Marinho</t>
  </si>
  <si>
    <t>Alan Esteves</t>
  </si>
  <si>
    <t>Marcos Vinicius</t>
  </si>
  <si>
    <t>Tatiane Rezende</t>
  </si>
  <si>
    <t>Bárbara Matos</t>
  </si>
  <si>
    <t>César Valente</t>
  </si>
  <si>
    <t>Vinicius Barros</t>
  </si>
  <si>
    <t>Simone Cavalcanti</t>
  </si>
  <si>
    <t>Denise Rangel</t>
  </si>
  <si>
    <t>Elias Galvão</t>
  </si>
  <si>
    <t>Flávia Rezende</t>
  </si>
  <si>
    <t>Paulo Henrique</t>
  </si>
  <si>
    <t>Adriana Campos</t>
  </si>
  <si>
    <t>Zilda Barreto</t>
  </si>
  <si>
    <t>Anderson Figueiredo</t>
  </si>
  <si>
    <t>Cristiane Salgado</t>
  </si>
  <si>
    <t>Jaqueline Torres</t>
  </si>
  <si>
    <t>Kleber Amaral</t>
  </si>
  <si>
    <t>William Padilha</t>
  </si>
  <si>
    <t>Yasmin Bittencourt</t>
  </si>
  <si>
    <t>CARLA</t>
  </si>
  <si>
    <t>CARLOS</t>
  </si>
  <si>
    <t>PEDRO</t>
  </si>
  <si>
    <t>ROBERTO</t>
  </si>
  <si>
    <t>CLAUDIO</t>
  </si>
  <si>
    <t>DANIEL</t>
  </si>
  <si>
    <t>CLAUDIA</t>
  </si>
  <si>
    <t>Hugo Gross Neto</t>
  </si>
  <si>
    <t>SUSANA</t>
  </si>
  <si>
    <t>ANA PAULA</t>
  </si>
  <si>
    <t>Jamyle Silva</t>
  </si>
  <si>
    <t>JANAINA</t>
  </si>
  <si>
    <t>JEREMIAS</t>
  </si>
  <si>
    <t>JULIA</t>
  </si>
  <si>
    <t>TOTAL GERAL</t>
  </si>
  <si>
    <t>ESTATÍSTICAS</t>
  </si>
  <si>
    <t>QUANTIDADE DE HÓSPEDAGENS REALIZADAS EM ABRIL</t>
  </si>
  <si>
    <t>MAIOR GANHO POR HOSPÉDE NO FRIGOBAR</t>
  </si>
  <si>
    <t>MAIOR GANHO POR DIA NO FRIGOBAR</t>
  </si>
  <si>
    <t>MAIOR GANHO POR HOPÉDE COM DIÁRIAS</t>
  </si>
  <si>
    <t>MENOR GANHO POR HOPÉDE COM DIÁRIAS</t>
  </si>
  <si>
    <t>MÉDIA DE GASTOS POR HOPÉDE COM FRIGOBAR</t>
  </si>
  <si>
    <t>MÉDIA DO TOTAL DAS HOSPEDAGENS</t>
  </si>
  <si>
    <t>MÉDIA DO TOTAL DAS DIÁRIAS</t>
  </si>
  <si>
    <t>Média de HOSPEDAGEM por classe:</t>
  </si>
  <si>
    <t>TABELA DE CLASSES</t>
  </si>
  <si>
    <t>VALOR R$</t>
  </si>
  <si>
    <t>Hospedagem</t>
  </si>
  <si>
    <t>Classe</t>
  </si>
  <si>
    <t>Faturamento</t>
  </si>
  <si>
    <t>Hospedagem por classe:</t>
  </si>
  <si>
    <t>Estatísticas</t>
  </si>
  <si>
    <t>Valores</t>
  </si>
  <si>
    <t>OBSERVAÇÃO: PARA HÓSPEDES DA CLASSE PRESIDENCIAL QUE PERMANECEREM NO HOTEL MAIS QUE 05 DIAS, SERÁ CONCEDIDO UM DESCONTO DE 20% NO VALOR DAS DIÁRIAS.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</si>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</sst>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"/>
    <numFmt numFmtId="165" formatCode="_(&quot;R$ &quot;* #,##0.00_);_(&quot;R$ &quot;* \(#,##0.00\);_(&quot;R$ &quot;* &quot;-&quot;??_);_(@_)"/>
    <numFmt numFmtId="166" formatCode="&quot;R$&quot;\ #,##0.00"/>
  </numFmts>
  <fonts count="1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2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2"/>
      <color theme="5"/>
      <name val="Arial"/>
      <family val="2"/>
    </font>
    <font>
      <sz val="10"/>
      <color theme="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rgb="FFCCCC00"/>
        <bgColor rgb="FFFFFF00"/>
      </patternFill>
    </fill>
    <fill>
      <patternFill patternType="solid">
        <fgColor rgb="FFCCCC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3" fillId="0" borderId="8" xfId="0" applyFont="1" applyBorder="1" applyAlignment="1">
      <alignment wrapText="1"/>
    </xf>
    <xf numFmtId="0" fontId="4" fillId="0" borderId="10" xfId="0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164" fontId="4" fillId="2" borderId="12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4" borderId="10" xfId="0" applyFont="1" applyFill="1" applyBorder="1"/>
    <xf numFmtId="0" fontId="1" fillId="0" borderId="10" xfId="0" applyFont="1" applyBorder="1"/>
    <xf numFmtId="165" fontId="1" fillId="0" borderId="10" xfId="0" applyNumberFormat="1" applyFont="1" applyBorder="1"/>
    <xf numFmtId="9" fontId="4" fillId="0" borderId="0" xfId="0" applyNumberFormat="1" applyFont="1"/>
    <xf numFmtId="166" fontId="4" fillId="0" borderId="10" xfId="0" applyNumberFormat="1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5" fillId="0" borderId="7" xfId="0" applyFont="1" applyFill="1" applyBorder="1" applyAlignment="1"/>
    <xf numFmtId="0" fontId="5" fillId="0" borderId="10" xfId="0" applyFont="1" applyFill="1" applyBorder="1" applyAlignment="1"/>
    <xf numFmtId="0" fontId="6" fillId="0" borderId="2" xfId="0" applyFont="1" applyFill="1" applyBorder="1" applyAlignment="1">
      <alignment horizontal="center"/>
    </xf>
    <xf numFmtId="0" fontId="5" fillId="0" borderId="12" xfId="0" applyFont="1" applyFill="1" applyBorder="1" applyAlignment="1"/>
    <xf numFmtId="0" fontId="8" fillId="0" borderId="5" xfId="0" applyFont="1" applyFill="1" applyBorder="1" applyAlignment="1"/>
    <xf numFmtId="0" fontId="5" fillId="0" borderId="14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center"/>
    </xf>
    <xf numFmtId="0" fontId="12" fillId="0" borderId="15" xfId="0" applyFont="1" applyFill="1" applyBorder="1" applyAlignment="1"/>
    <xf numFmtId="0" fontId="11" fillId="0" borderId="13" xfId="0" applyFont="1" applyFill="1" applyBorder="1" applyAlignment="1">
      <alignment horizontal="center"/>
    </xf>
    <xf numFmtId="0" fontId="11" fillId="0" borderId="15" xfId="0" applyFont="1" applyFill="1" applyBorder="1" applyAlignment="1"/>
    <xf numFmtId="166" fontId="5" fillId="0" borderId="13" xfId="0" applyNumberFormat="1" applyFont="1" applyFill="1" applyBorder="1" applyAlignment="1">
      <alignment horizontal="left"/>
    </xf>
    <xf numFmtId="166" fontId="0" fillId="0" borderId="0" xfId="0" applyNumberFormat="1" applyFont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3" xfId="0" applyFont="1" applyFill="1" applyBorder="1" applyAlignment="1">
      <alignment horizontal="left"/>
    </xf>
    <xf numFmtId="0" fontId="13" fillId="6" borderId="7" xfId="0" applyFont="1" applyFill="1" applyBorder="1" applyAlignment="1">
      <alignment horizontal="center"/>
    </xf>
    <xf numFmtId="166" fontId="13" fillId="6" borderId="7" xfId="0" applyNumberFormat="1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166" fontId="4" fillId="7" borderId="10" xfId="0" applyNumberFormat="1" applyFont="1" applyFill="1" applyBorder="1" applyAlignment="1">
      <alignment horizontal="center"/>
    </xf>
    <xf numFmtId="166" fontId="4" fillId="7" borderId="11" xfId="0" applyNumberFormat="1" applyFont="1" applyFill="1" applyBorder="1" applyAlignment="1">
      <alignment horizontal="center"/>
    </xf>
    <xf numFmtId="1" fontId="4" fillId="7" borderId="10" xfId="0" applyNumberFormat="1" applyFont="1" applyFill="1" applyBorder="1" applyAlignment="1">
      <alignment horizontal="center"/>
    </xf>
    <xf numFmtId="166" fontId="4" fillId="7" borderId="11" xfId="0" applyNumberFormat="1" applyFont="1" applyFill="1" applyBorder="1" applyAlignment="1">
      <alignment horizontal="center" vertical="center"/>
    </xf>
    <xf numFmtId="166" fontId="4" fillId="8" borderId="11" xfId="0" applyNumberFormat="1" applyFont="1" applyFill="1" applyBorder="1" applyAlignment="1">
      <alignment horizontal="right"/>
    </xf>
    <xf numFmtId="166" fontId="4" fillId="8" borderId="12" xfId="0" applyNumberFormat="1" applyFont="1" applyFill="1" applyBorder="1" applyAlignment="1">
      <alignment horizontal="center"/>
    </xf>
    <xf numFmtId="166" fontId="4" fillId="7" borderId="13" xfId="0" applyNumberFormat="1" applyFont="1" applyFill="1" applyBorder="1" applyAlignment="1">
      <alignment horizontal="center"/>
    </xf>
    <xf numFmtId="1" fontId="4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66" fontId="4" fillId="8" borderId="10" xfId="0" applyNumberFormat="1" applyFont="1" applyFill="1" applyBorder="1" applyAlignment="1">
      <alignment horizontal="center" vertical="center"/>
    </xf>
    <xf numFmtId="166" fontId="4" fillId="8" borderId="10" xfId="0" applyNumberFormat="1" applyFont="1" applyFill="1" applyBorder="1" applyAlignment="1">
      <alignment horizontal="center"/>
    </xf>
    <xf numFmtId="166" fontId="4" fillId="7" borderId="10" xfId="0" applyNumberFormat="1" applyFont="1" applyFill="1" applyBorder="1" applyAlignment="1">
      <alignment horizontal="center" vertical="center"/>
    </xf>
    <xf numFmtId="166" fontId="4" fillId="8" borderId="11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1" fontId="4" fillId="8" borderId="12" xfId="0" applyNumberFormat="1" applyFont="1" applyFill="1" applyBorder="1" applyAlignment="1">
      <alignment horizontal="center"/>
    </xf>
    <xf numFmtId="166" fontId="4" fillId="8" borderId="12" xfId="0" applyNumberFormat="1" applyFont="1" applyFill="1" applyBorder="1" applyAlignment="1">
      <alignment horizontal="center" vertical="center"/>
    </xf>
    <xf numFmtId="0" fontId="4" fillId="0" borderId="13" xfId="0" applyFont="1" applyBorder="1" applyAlignment="1"/>
    <xf numFmtId="0" fontId="2" fillId="0" borderId="14" xfId="0" applyFont="1" applyBorder="1" applyAlignment="1"/>
    <xf numFmtId="0" fontId="2" fillId="0" borderId="9" xfId="0" applyFont="1" applyBorder="1" applyAlignment="1"/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166" fontId="5" fillId="0" borderId="7" xfId="0" applyNumberFormat="1" applyFont="1" applyFill="1" applyBorder="1" applyAlignment="1"/>
    <xf numFmtId="166" fontId="5" fillId="0" borderId="10" xfId="0" applyNumberFormat="1" applyFont="1" applyFill="1" applyBorder="1" applyAlignment="1"/>
    <xf numFmtId="166" fontId="5" fillId="0" borderId="12" xfId="0" applyNumberFormat="1" applyFont="1" applyFill="1" applyBorder="1" applyAlignment="1"/>
    <xf numFmtId="0" fontId="15" fillId="9" borderId="13" xfId="0" applyFont="1" applyFill="1" applyBorder="1" applyAlignment="1">
      <alignment horizontal="left" vertical="center" wrapText="1"/>
    </xf>
    <xf numFmtId="0" fontId="16" fillId="10" borderId="14" xfId="0" applyFont="1" applyFill="1" applyBorder="1"/>
    <xf numFmtId="0" fontId="16" fillId="10" borderId="5" xfId="0" applyFont="1" applyFill="1" applyBorder="1"/>
    <xf numFmtId="0" fontId="16" fillId="10" borderId="9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4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2" xfId="0" applyFont="1" applyBorder="1"/>
    <xf numFmtId="0" fontId="2" fillId="0" borderId="9" xfId="0" applyFont="1" applyBorder="1"/>
    <xf numFmtId="0" fontId="15" fillId="0" borderId="13" xfId="0" applyFont="1" applyBorder="1" applyAlignment="1">
      <alignment horizontal="center"/>
    </xf>
    <xf numFmtId="0" fontId="16" fillId="0" borderId="14" xfId="0" applyFont="1" applyBorder="1"/>
    <xf numFmtId="0" fontId="10" fillId="5" borderId="1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166" fontId="0" fillId="0" borderId="0" xfId="0" applyNumberFormat="1" applyFont="1" applyAlignment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FFFF00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&quot;R$&quot;\ #,##0.00"/>
      <fill>
        <patternFill patternType="none">
          <fgColor rgb="FFFFFF00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&quot;R$&quot;\ #,##0.00"/>
      <fill>
        <patternFill patternType="none">
          <fgColor rgb="FFFFFF00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6" formatCode="&quot;R$&quot;\ #,##0.00"/>
      <fill>
        <patternFill>
          <bgColor theme="6" tint="0.59999389629810485"/>
        </patternFill>
      </fill>
    </dxf>
    <dxf>
      <numFmt numFmtId="166" formatCode="&quot;R$&quot;\ #,##0.00"/>
      <fill>
        <patternFill>
          <bgColor theme="6" tint="0.59999389629810485"/>
        </patternFill>
      </fill>
      <alignment horizontal="center" vertical="bottom" textRotation="0" wrapText="0" indent="0" justifyLastLine="0" shrinkToFit="0" readingOrder="0"/>
      <border outline="0">
        <right style="thin">
          <color rgb="FF000000"/>
        </right>
      </border>
    </dxf>
    <dxf>
      <numFmt numFmtId="0" formatCode="General"/>
      <fill>
        <patternFill>
          <bgColor theme="6" tint="0.59999389629810485"/>
        </patternFill>
      </fill>
      <border outline="0">
        <left style="thin">
          <color rgb="FF000000"/>
        </left>
        <right style="thin">
          <color rgb="FF000000"/>
        </right>
      </border>
    </dxf>
    <dxf>
      <numFmt numFmtId="166" formatCode="&quot;R$&quot;\ #,##0.00"/>
      <fill>
        <patternFill>
          <bgColor theme="6" tint="0.59999389629810485"/>
        </patternFill>
      </fill>
      <alignment horizontal="center" vertical="center" textRotation="0" wrapText="0" indent="0" justifyLastLine="0" shrinkToFit="0" readingOrder="0"/>
      <border outline="0">
        <right style="thin">
          <color rgb="FF000000"/>
        </right>
      </border>
    </dxf>
    <dxf>
      <numFmt numFmtId="1" formatCode="0"/>
      <fill>
        <patternFill>
          <bgColor theme="6" tint="0.59999389629810485"/>
        </patternFill>
      </fill>
      <border outline="0">
        <right style="thin">
          <color rgb="FF000000"/>
        </right>
      </border>
    </dxf>
    <dxf>
      <border outline="0">
        <right style="thin">
          <color rgb="FF000000"/>
        </right>
      </border>
    </dxf>
    <dxf>
      <border outline="0">
        <left style="thin">
          <color rgb="FF000000"/>
        </left>
      </border>
    </dxf>
    <dxf>
      <numFmt numFmtId="166" formatCode="&quot;R$&quot;\ #,##0.00"/>
      <fill>
        <patternFill patternType="solid">
          <fgColor indexed="64"/>
          <bgColor theme="6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0"/>
        <color theme="3"/>
        <name val="Arial"/>
        <scheme val="none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CONTROLE-style" pivot="0" count="3" xr9:uid="{00000000-0011-0000-FFFF-FFFF00000000}">
      <tableStyleElement type="headerRow" dxfId="29"/>
      <tableStyleElement type="firstRowStripe" dxfId="28"/>
      <tableStyleElement type="secondRowStripe" dxfId="27"/>
    </tableStyle>
  </tableStyles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312445319335084"/>
          <c:y val="0.1763888888888889"/>
          <c:w val="0.40819575678040243"/>
          <c:h val="0.6803262613006707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ED-48C8-80B1-EA7D73A92F0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ED-48C8-80B1-EA7D73A92F0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ED-48C8-80B1-EA7D73A92F0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DED-48C8-80B1-EA7D73A92F0A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ED-48C8-80B1-EA7D73A92F0A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DED-48C8-80B1-EA7D73A92F0A}"/>
              </c:ext>
            </c:extLst>
          </c:dPt>
          <c:dLbls>
            <c:dLbl>
              <c:idx val="0"/>
              <c:layout>
                <c:manualLayout>
                  <c:x val="-0.33055555555555555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ED-48C8-80B1-EA7D73A92F0A}"/>
                </c:ext>
              </c:extLst>
            </c:dLbl>
            <c:dLbl>
              <c:idx val="1"/>
              <c:layout>
                <c:manualLayout>
                  <c:x val="0.16666666666666666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ED-48C8-80B1-EA7D73A92F0A}"/>
                </c:ext>
              </c:extLst>
            </c:dLbl>
            <c:dLbl>
              <c:idx val="2"/>
              <c:layout>
                <c:manualLayout>
                  <c:x val="0.1111111111111111"/>
                  <c:y val="-0.1805555555555556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D-48C8-80B1-EA7D73A92F0A}"/>
                </c:ext>
              </c:extLst>
            </c:dLbl>
            <c:dLbl>
              <c:idx val="3"/>
              <c:layout>
                <c:manualLayout>
                  <c:x val="7.4999999999999997E-2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ED-48C8-80B1-EA7D73A92F0A}"/>
                </c:ext>
              </c:extLst>
            </c:dLbl>
            <c:dLbl>
              <c:idx val="4"/>
              <c:layout>
                <c:manualLayout>
                  <c:x val="-0.38055555555555559"/>
                  <c:y val="-0.1620370370370369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ED-48C8-80B1-EA7D73A92F0A}"/>
                </c:ext>
              </c:extLst>
            </c:dLbl>
            <c:dLbl>
              <c:idx val="5"/>
              <c:layout>
                <c:manualLayout>
                  <c:x val="-0.20000000000000004"/>
                  <c:y val="-1.851851851851847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ED-48C8-80B1-EA7D73A92F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ESTATÍSTICAS!$A$14:$A$19</c:f>
              <c:strCache>
                <c:ptCount val="6"/>
                <c:pt idx="0">
                  <c:v>POPULAR</c:v>
                </c:pt>
                <c:pt idx="1">
                  <c:v>STANDART</c:v>
                </c:pt>
                <c:pt idx="2">
                  <c:v>ALTA</c:v>
                </c:pt>
                <c:pt idx="3">
                  <c:v>EXECUTIVA</c:v>
                </c:pt>
                <c:pt idx="4">
                  <c:v>DOUBLE</c:v>
                </c:pt>
                <c:pt idx="5">
                  <c:v>PRESIDENCIAL</c:v>
                </c:pt>
              </c:strCache>
            </c:strRef>
          </c:cat>
          <c:val>
            <c:numRef>
              <c:f>ESTATÍSTICAS!$B$14:$B$19</c:f>
              <c:numCache>
                <c:formatCode>"R$"\ #,##0.00</c:formatCode>
                <c:ptCount val="6"/>
                <c:pt idx="0">
                  <c:v>350.36</c:v>
                </c:pt>
                <c:pt idx="1">
                  <c:v>460.37</c:v>
                </c:pt>
                <c:pt idx="2">
                  <c:v>406.96</c:v>
                </c:pt>
                <c:pt idx="3">
                  <c:v>510</c:v>
                </c:pt>
                <c:pt idx="4">
                  <c:v>1200</c:v>
                </c:pt>
                <c:pt idx="5">
                  <c:v>1881.9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D-48C8-80B1-EA7D73A92F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4575678040245"/>
          <c:y val="0.36181211723534557"/>
          <c:w val="0.22520909886264215"/>
          <c:h val="0.4430424321959755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ESTATÍSTICAS!$A$14:$A$19</c:f>
              <c:strCache>
                <c:ptCount val="6"/>
                <c:pt idx="0">
                  <c:v>POPULAR</c:v>
                </c:pt>
                <c:pt idx="1">
                  <c:v>STANDART</c:v>
                </c:pt>
                <c:pt idx="2">
                  <c:v>ALTA</c:v>
                </c:pt>
                <c:pt idx="3">
                  <c:v>EXECUTIVA</c:v>
                </c:pt>
                <c:pt idx="4">
                  <c:v>DOUBLE</c:v>
                </c:pt>
                <c:pt idx="5">
                  <c:v>PRESIDENCIAL</c:v>
                </c:pt>
              </c:strCache>
            </c:strRef>
          </c:cat>
          <c:val>
            <c:numRef>
              <c:f>ESTATÍSTICAS!$B$14:$B$19</c:f>
              <c:numCache>
                <c:formatCode>"R$"\ #,##0.00</c:formatCode>
                <c:ptCount val="6"/>
                <c:pt idx="0">
                  <c:v>350.36</c:v>
                </c:pt>
                <c:pt idx="1">
                  <c:v>460.37</c:v>
                </c:pt>
                <c:pt idx="2">
                  <c:v>406.96</c:v>
                </c:pt>
                <c:pt idx="3">
                  <c:v>510</c:v>
                </c:pt>
                <c:pt idx="4">
                  <c:v>1200</c:v>
                </c:pt>
                <c:pt idx="5">
                  <c:v>1881.9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D-4310-B5CC-3EFF2E777A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01965840"/>
        <c:axId val="1301966320"/>
        <c:axId val="0"/>
      </c:bar3DChart>
      <c:catAx>
        <c:axId val="13019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1966320"/>
        <c:crosses val="autoZero"/>
        <c:auto val="1"/>
        <c:lblAlgn val="ctr"/>
        <c:lblOffset val="100"/>
        <c:noMultiLvlLbl val="0"/>
      </c:catAx>
      <c:valAx>
        <c:axId val="13019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19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220062</xdr:colOff>
      <xdr:row>17</xdr:row>
      <xdr:rowOff>4597</xdr:rowOff>
    </xdr:from>
    <xdr:to>
      <xdr:col>11</xdr:col>
      <xdr:colOff>3286</xdr:colOff>
      <xdr:row>33</xdr:row>
      <xdr:rowOff>120211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153FBC4-AF7E-7049-8DA0-B8B49AB6F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216776</xdr:colOff>
      <xdr:row>0</xdr:row>
      <xdr:rowOff>111673</xdr:rowOff>
    </xdr:from>
    <xdr:to>
      <xdr:col>11</xdr:col>
      <xdr:colOff>0</xdr:colOff>
      <xdr:row>16</xdr:row>
      <xdr:rowOff>135321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2C3505-15A2-D817-456B-B4A4CA38A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562841</xdr:colOff>
      <xdr:row>2</xdr:row>
      <xdr:rowOff>107951</xdr:rowOff>
    </xdr:from>
    <xdr:to>
      <xdr:col>2</xdr:col>
      <xdr:colOff>47625</xdr:colOff>
      <xdr:row>4</xdr:row>
      <xdr:rowOff>43007</xdr:rowOff>
    </xdr:to>
    <xdr:sp macro="" textlink="B4">
      <xdr:nvSpPr>
        <xdr:cNvPr id="2" name="Fluxograma: Processo Alternativo 1">
          <a:extLst>
            <a:ext uri="{FF2B5EF4-FFF2-40B4-BE49-F238E27FC236}">
              <a16:creationId xmlns:a16="http://schemas.microsoft.com/office/drawing/2014/main" id="{859B0533-2272-E7A0-D052-1CA33BA42656}"/>
            </a:ext>
          </a:extLst>
        </xdr:cNvPr>
        <xdr:cNvSpPr/>
      </xdr:nvSpPr>
      <xdr:spPr>
        <a:xfrm>
          <a:off x="562841" y="428337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9DDAB47-BDC9-49E7-90D6-73E66266CC32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448538</xdr:colOff>
      <xdr:row>2</xdr:row>
      <xdr:rowOff>104776</xdr:rowOff>
    </xdr:from>
    <xdr:to>
      <xdr:col>4</xdr:col>
      <xdr:colOff>244184</xdr:colOff>
      <xdr:row>4</xdr:row>
      <xdr:rowOff>39832</xdr:rowOff>
    </xdr:to>
    <xdr:sp macro="" textlink="D4">
      <xdr:nvSpPr>
        <xdr:cNvPr id="3" name="Fluxograma: Processo Alternativo 2">
          <a:extLst>
            <a:ext uri="{FF2B5EF4-FFF2-40B4-BE49-F238E27FC236}">
              <a16:creationId xmlns:a16="http://schemas.microsoft.com/office/drawing/2014/main" id="{33E1D204-9DAD-4620-A0E5-236781B1E9E1}"/>
            </a:ext>
          </a:extLst>
        </xdr:cNvPr>
        <xdr:cNvSpPr/>
      </xdr:nvSpPr>
      <xdr:spPr>
        <a:xfrm>
          <a:off x="1686788" y="425162"/>
          <a:ext cx="1033896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FB8FA33-E599-40D5-B7E0-1445B75CF431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R$ 155,00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34631</xdr:colOff>
      <xdr:row>2</xdr:row>
      <xdr:rowOff>114301</xdr:rowOff>
    </xdr:from>
    <xdr:to>
      <xdr:col>6</xdr:col>
      <xdr:colOff>147199</xdr:colOff>
      <xdr:row>4</xdr:row>
      <xdr:rowOff>49357</xdr:rowOff>
    </xdr:to>
    <xdr:sp macro="" textlink="F4">
      <xdr:nvSpPr>
        <xdr:cNvPr id="4" name="Fluxograma: Processo Alternativo 3">
          <a:extLst>
            <a:ext uri="{FF2B5EF4-FFF2-40B4-BE49-F238E27FC236}">
              <a16:creationId xmlns:a16="http://schemas.microsoft.com/office/drawing/2014/main" id="{78AF2262-F701-4728-9EE3-B3D959058A25}"/>
            </a:ext>
          </a:extLst>
        </xdr:cNvPr>
        <xdr:cNvSpPr/>
      </xdr:nvSpPr>
      <xdr:spPr>
        <a:xfrm>
          <a:off x="3121597" y="434687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ECD5E71-E56F-4139-84C5-962D7B3F25E2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548112</xdr:colOff>
      <xdr:row>2</xdr:row>
      <xdr:rowOff>111126</xdr:rowOff>
    </xdr:from>
    <xdr:to>
      <xdr:col>8</xdr:col>
      <xdr:colOff>50214</xdr:colOff>
      <xdr:row>4</xdr:row>
      <xdr:rowOff>46182</xdr:rowOff>
    </xdr:to>
    <xdr:sp macro="" textlink="H4">
      <xdr:nvSpPr>
        <xdr:cNvPr id="5" name="Fluxograma: Processo Alternativo 4">
          <a:extLst>
            <a:ext uri="{FF2B5EF4-FFF2-40B4-BE49-F238E27FC236}">
              <a16:creationId xmlns:a16="http://schemas.microsoft.com/office/drawing/2014/main" id="{EEE82030-6E44-4735-803B-7E69C7A30704}"/>
            </a:ext>
          </a:extLst>
        </xdr:cNvPr>
        <xdr:cNvSpPr/>
      </xdr:nvSpPr>
      <xdr:spPr>
        <a:xfrm>
          <a:off x="4245544" y="431512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7808F6F-A461-4EC9-B67E-3B5EC604F034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548980</xdr:colOff>
      <xdr:row>5</xdr:row>
      <xdr:rowOff>107090</xdr:rowOff>
    </xdr:from>
    <xdr:to>
      <xdr:col>8</xdr:col>
      <xdr:colOff>51082</xdr:colOff>
      <xdr:row>7</xdr:row>
      <xdr:rowOff>42147</xdr:rowOff>
    </xdr:to>
    <xdr:sp macro="" textlink="H7">
      <xdr:nvSpPr>
        <xdr:cNvPr id="6" name="Fluxograma: Processo Alternativo 5">
          <a:extLst>
            <a:ext uri="{FF2B5EF4-FFF2-40B4-BE49-F238E27FC236}">
              <a16:creationId xmlns:a16="http://schemas.microsoft.com/office/drawing/2014/main" id="{64DDD090-1CA3-4B3C-8726-6A5277184C31}"/>
            </a:ext>
          </a:extLst>
        </xdr:cNvPr>
        <xdr:cNvSpPr/>
      </xdr:nvSpPr>
      <xdr:spPr>
        <a:xfrm>
          <a:off x="4246412" y="908056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0BC9C66-B711-4870-AC80-86EED869B683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41270</xdr:colOff>
      <xdr:row>5</xdr:row>
      <xdr:rowOff>108244</xdr:rowOff>
    </xdr:from>
    <xdr:to>
      <xdr:col>6</xdr:col>
      <xdr:colOff>153838</xdr:colOff>
      <xdr:row>7</xdr:row>
      <xdr:rowOff>43301</xdr:rowOff>
    </xdr:to>
    <xdr:sp macro="" textlink="F7">
      <xdr:nvSpPr>
        <xdr:cNvPr id="7" name="Fluxograma: Processo Alternativo 6">
          <a:extLst>
            <a:ext uri="{FF2B5EF4-FFF2-40B4-BE49-F238E27FC236}">
              <a16:creationId xmlns:a16="http://schemas.microsoft.com/office/drawing/2014/main" id="{887EBEFF-49F8-4253-A566-DE3260ED1C23}"/>
            </a:ext>
          </a:extLst>
        </xdr:cNvPr>
        <xdr:cNvSpPr/>
      </xdr:nvSpPr>
      <xdr:spPr>
        <a:xfrm>
          <a:off x="3128236" y="909210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DAD06BE-F905-49CD-84F4-36F107042261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161345</xdr:colOff>
      <xdr:row>5</xdr:row>
      <xdr:rowOff>104780</xdr:rowOff>
    </xdr:from>
    <xdr:to>
      <xdr:col>4</xdr:col>
      <xdr:colOff>256595</xdr:colOff>
      <xdr:row>7</xdr:row>
      <xdr:rowOff>39837</xdr:rowOff>
    </xdr:to>
    <xdr:sp macro="" textlink="D7">
      <xdr:nvSpPr>
        <xdr:cNvPr id="8" name="Fluxograma: Processo Alternativo 7">
          <a:extLst>
            <a:ext uri="{FF2B5EF4-FFF2-40B4-BE49-F238E27FC236}">
              <a16:creationId xmlns:a16="http://schemas.microsoft.com/office/drawing/2014/main" id="{BE7441D9-C95B-4C8A-9D23-90747C372A72}"/>
            </a:ext>
          </a:extLst>
        </xdr:cNvPr>
        <xdr:cNvSpPr/>
      </xdr:nvSpPr>
      <xdr:spPr>
        <a:xfrm>
          <a:off x="2010061" y="905746"/>
          <a:ext cx="72303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B8D218D-4556-48D3-9B4D-451B76C5C846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155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560236</xdr:colOff>
      <xdr:row>5</xdr:row>
      <xdr:rowOff>105935</xdr:rowOff>
    </xdr:from>
    <xdr:to>
      <xdr:col>2</xdr:col>
      <xdr:colOff>376670</xdr:colOff>
      <xdr:row>7</xdr:row>
      <xdr:rowOff>40992</xdr:rowOff>
    </xdr:to>
    <xdr:sp macro="" textlink="B7">
      <xdr:nvSpPr>
        <xdr:cNvPr id="9" name="Fluxograma: Processo Alternativo 8">
          <a:extLst>
            <a:ext uri="{FF2B5EF4-FFF2-40B4-BE49-F238E27FC236}">
              <a16:creationId xmlns:a16="http://schemas.microsoft.com/office/drawing/2014/main" id="{D6760FF4-59CA-4152-BEF5-DC41F8AC9891}"/>
            </a:ext>
          </a:extLst>
        </xdr:cNvPr>
        <xdr:cNvSpPr/>
      </xdr:nvSpPr>
      <xdr:spPr>
        <a:xfrm>
          <a:off x="560236" y="906901"/>
          <a:ext cx="1054684" cy="255443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12BA18-A05D-4933-8E84-98A3EBEBB6CC}" type="TxLink">
            <a:rPr lang="en-US" sz="1000" b="1" i="0" u="none" strike="noStrike">
              <a:solidFill>
                <a:schemeClr val="bg1"/>
              </a:solidFill>
              <a:latin typeface="Arial"/>
              <a:cs typeface="Arial"/>
            </a:rPr>
            <a:t>R$ 155,00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J158">
  <tableColumns count="10">
    <tableColumn id="1" xr3:uid="{00000000-0010-0000-0000-000001000000}" name="HÓSPEDES" dataDxfId="26"/>
    <tableColumn id="2" xr3:uid="{00000000-0010-0000-0000-000002000000}" name="CLASSE" dataDxfId="25"/>
    <tableColumn id="3" xr3:uid="{00000000-0010-0000-0000-000003000000}" name="VALOR" dataDxfId="24">
      <calculatedColumnFormula>VLOOKUP(B4,CLASSES!$A$3:$B$8,2,FALSE)</calculatedColumnFormula>
    </tableColumn>
    <tableColumn id="4" xr3:uid="{00000000-0010-0000-0000-000004000000}" name="ENTRADA" dataDxfId="23"/>
    <tableColumn id="5" xr3:uid="{00000000-0010-0000-0000-000005000000}" name="SAÍDA" dataDxfId="22"/>
    <tableColumn id="6" xr3:uid="{00000000-0010-0000-0000-000006000000}" name="QTE. DIÁRIAS" dataDxfId="21">
      <calculatedColumnFormula>E4-D4</calculatedColumnFormula>
    </tableColumn>
    <tableColumn id="7" xr3:uid="{00000000-0010-0000-0000-000007000000}" name="SUBTOTAL" dataDxfId="20">
      <calculatedColumnFormula>C4*F4</calculatedColumnFormula>
    </tableColumn>
    <tableColumn id="8" xr3:uid="{00000000-0010-0000-0000-000008000000}" name="DECONTO" dataDxfId="19">
      <calculatedColumnFormula>IF(AND(B4="PRESIDENCIAL",F4&gt;4),G4*0.2,0)</calculatedColumnFormula>
    </tableColumn>
    <tableColumn id="9" xr3:uid="{00000000-0010-0000-0000-000009000000}" name="FRIGOBAR" dataDxfId="18"/>
    <tableColumn id="10" xr3:uid="{00000000-0010-0000-0000-00000A000000}" name="TOTAL" dataDxfId="17">
      <calculatedColumnFormula>G4-H4+I4</calculatedColumnFormula>
    </tableColumn>
  </tableColumns>
  <tableStyleInfo name="TableStyleMedium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EC23F-3E1D-4C63-B6E0-58DAD9C5B2BB}" name="Tabela2" displayName="Tabela2" ref="A2:B10" totalsRowShown="0" headerRowDxfId="16" dataDxfId="14" headerRowBorderDxfId="15" tableBorderDxfId="13" totalsRowBorderDxfId="12">
  <autoFilter ref="A2:B10" xr:uid="{B03EC23F-3E1D-4C63-B6E0-58DAD9C5B2BB}"/>
  <tableColumns count="2">
    <tableColumn id="1" xr3:uid="{5E8BC37A-D313-47A1-B80C-E9661CE6F716}" name="Estatísticas" dataDxfId="11"/>
    <tableColumn id="2" xr3:uid="{4DCBE8F7-96E7-4F37-A970-DC4B2AEE25CB}" name="Valores" dataDxfId="10">
      <calculatedColumnFormula>COUNTIFS(CONTROLE!$D$4:$D$158,"&gt;=01/04/2026",CONTROLE!$C$4:$C$158,"&lt;=30/04/2026")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81473C-98BB-412B-A213-8CF9BDEC7247}" name="Tabela3" displayName="Tabela3" ref="A13:B19" totalsRowShown="0" headerRowDxfId="9" dataDxfId="8" tableBorderDxfId="7">
  <autoFilter ref="A13:B19" xr:uid="{F781473C-98BB-412B-A213-8CF9BDEC7247}"/>
  <tableColumns count="2">
    <tableColumn id="1" xr3:uid="{342F40CA-BC84-48A5-B8C5-3252F333F7B4}" name="Classe" dataDxfId="6"/>
    <tableColumn id="2" xr3:uid="{49BC5B67-AF8B-4A84-BBCA-A59E8573630C}" name="Hospedagem" dataDxfId="5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D0D3DE-EB81-4DA4-B0FE-99C0BF21BF03}" name="Tabela4" displayName="Tabela4" ref="A22:B28" totalsRowShown="0" headerRowDxfId="4" dataDxfId="3" tableBorderDxfId="2">
  <autoFilter ref="A22:B28" xr:uid="{A8D0D3DE-EB81-4DA4-B0FE-99C0BF21BF03}"/>
  <tableColumns count="2">
    <tableColumn id="1" xr3:uid="{165E10F6-FB89-4A28-A2E0-09F51ECBA609}" name="Classe" dataDxfId="1"/>
    <tableColumn id="2" xr3:uid="{888233BB-3D93-48ED-9039-05B55E27EB0C}" name="Faturamento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6"/>
  <sheetViews>
    <sheetView topLeftCell="A127" zoomScale="115" zoomScaleNormal="115" workbookViewId="0">
      <selection activeCell="K159" sqref="K159"/>
    </sheetView>
  </sheetViews>
  <sheetFormatPr defaultColWidth="12.5703125" defaultRowHeight="15" customHeight="1" x14ac:dyDescent="0.2"/>
  <cols>
    <col min="1" max="1" width="26.140625" customWidth="1"/>
    <col min="2" max="2" width="14.5703125" customWidth="1"/>
    <col min="3" max="3" width="9.5703125" customWidth="1"/>
    <col min="4" max="4" width="11.85546875" customWidth="1"/>
    <col min="5" max="5" width="7.28515625" customWidth="1"/>
    <col min="6" max="6" width="15.5703125" customWidth="1"/>
    <col min="7" max="8" width="12.85546875" customWidth="1"/>
    <col min="9" max="9" width="12.85546875" style="28" customWidth="1"/>
    <col min="10" max="10" width="18.5703125" customWidth="1"/>
    <col min="11" max="18" width="8" customWidth="1"/>
    <col min="19" max="19" width="36.140625" customWidth="1"/>
    <col min="20" max="21" width="8" customWidth="1"/>
  </cols>
  <sheetData>
    <row r="1" spans="1:19" ht="18" customHeight="1" x14ac:dyDescent="0.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9" ht="12.75" customHeight="1" x14ac:dyDescent="0.2">
      <c r="A2" s="68"/>
      <c r="B2" s="69"/>
      <c r="C2" s="69"/>
      <c r="D2" s="69"/>
      <c r="E2" s="69"/>
      <c r="F2" s="69"/>
      <c r="G2" s="69"/>
      <c r="H2" s="69"/>
      <c r="I2" s="69"/>
      <c r="J2" s="70"/>
    </row>
    <row r="3" spans="1:19" ht="17.25" customHeight="1" x14ac:dyDescent="0.2">
      <c r="A3" s="29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3" t="s">
        <v>9</v>
      </c>
      <c r="J3" s="34" t="s">
        <v>10</v>
      </c>
      <c r="S3" s="1" t="s">
        <v>11</v>
      </c>
    </row>
    <row r="4" spans="1:19" ht="12.75" customHeight="1" x14ac:dyDescent="0.2">
      <c r="A4" s="30" t="s">
        <v>12</v>
      </c>
      <c r="B4" s="2" t="s">
        <v>13</v>
      </c>
      <c r="C4" s="35">
        <f>VLOOKUP(B4,CLASSES!$A$3:$B$8,2,FALSE)</f>
        <v>380</v>
      </c>
      <c r="D4" s="3">
        <v>46113</v>
      </c>
      <c r="E4" s="3">
        <v>46114</v>
      </c>
      <c r="F4" s="37">
        <f>E4-D4</f>
        <v>1</v>
      </c>
      <c r="G4" s="38">
        <f>C4*F4</f>
        <v>380</v>
      </c>
      <c r="H4" s="39">
        <f>IF(AND(B4="PRESIDENCIAL",F4&gt;4),G4*0.2,0)</f>
        <v>0</v>
      </c>
      <c r="I4" s="40">
        <v>30</v>
      </c>
      <c r="J4" s="41">
        <f t="shared" ref="J4:J35" si="0">G4-H4+I4</f>
        <v>410</v>
      </c>
      <c r="S4" s="1" t="s">
        <v>14</v>
      </c>
    </row>
    <row r="5" spans="1:19" ht="12.75" customHeight="1" x14ac:dyDescent="0.2">
      <c r="A5" s="30" t="s">
        <v>15</v>
      </c>
      <c r="B5" s="2" t="s">
        <v>16</v>
      </c>
      <c r="C5" s="35">
        <f>VLOOKUP(B5,CLASSES!$A$3:$B$8,2,FALSE)</f>
        <v>90</v>
      </c>
      <c r="D5" s="4">
        <v>46113</v>
      </c>
      <c r="E5" s="4">
        <v>46115</v>
      </c>
      <c r="F5" s="42">
        <f t="shared" ref="F5:F35" si="1">E5-D5</f>
        <v>2</v>
      </c>
      <c r="G5" s="38">
        <f t="shared" ref="G5:G35" si="2">C5*F5</f>
        <v>180</v>
      </c>
      <c r="H5" s="39">
        <f t="shared" ref="H5:H67" si="3">IF(AND(B5="PRESIDENCIAL",F5&gt;4),G5*0.2,0)</f>
        <v>0</v>
      </c>
      <c r="I5" s="40">
        <v>52</v>
      </c>
      <c r="J5" s="41">
        <f t="shared" si="0"/>
        <v>232</v>
      </c>
      <c r="S5" s="1" t="s">
        <v>17</v>
      </c>
    </row>
    <row r="6" spans="1:19" ht="12.75" customHeight="1" x14ac:dyDescent="0.2">
      <c r="A6" s="30" t="s">
        <v>18</v>
      </c>
      <c r="B6" s="2" t="s">
        <v>19</v>
      </c>
      <c r="C6" s="35">
        <f>VLOOKUP(B6,CLASSES!$A$3:$B$8,2,FALSE)</f>
        <v>110</v>
      </c>
      <c r="D6" s="4">
        <v>46113</v>
      </c>
      <c r="E6" s="4">
        <v>46116</v>
      </c>
      <c r="F6" s="42">
        <f t="shared" si="1"/>
        <v>3</v>
      </c>
      <c r="G6" s="38">
        <f t="shared" si="2"/>
        <v>330</v>
      </c>
      <c r="H6" s="39">
        <f t="shared" si="3"/>
        <v>0</v>
      </c>
      <c r="I6" s="36">
        <v>0</v>
      </c>
      <c r="J6" s="41">
        <f t="shared" si="0"/>
        <v>330</v>
      </c>
      <c r="S6" s="1" t="s">
        <v>20</v>
      </c>
    </row>
    <row r="7" spans="1:19" ht="12.75" customHeight="1" x14ac:dyDescent="0.2">
      <c r="A7" s="30" t="s">
        <v>21</v>
      </c>
      <c r="B7" s="2" t="s">
        <v>22</v>
      </c>
      <c r="C7" s="35">
        <f>VLOOKUP(B7,CLASSES!$A$3:$B$8,2,FALSE)</f>
        <v>120</v>
      </c>
      <c r="D7" s="4">
        <v>46113</v>
      </c>
      <c r="E7" s="4">
        <v>46114</v>
      </c>
      <c r="F7" s="43">
        <f t="shared" si="1"/>
        <v>1</v>
      </c>
      <c r="G7" s="44">
        <f t="shared" si="2"/>
        <v>120</v>
      </c>
      <c r="H7" s="39">
        <f t="shared" si="3"/>
        <v>0</v>
      </c>
      <c r="I7" s="45">
        <v>10</v>
      </c>
      <c r="J7" s="41">
        <f t="shared" si="0"/>
        <v>130</v>
      </c>
      <c r="S7" s="1" t="s">
        <v>23</v>
      </c>
    </row>
    <row r="8" spans="1:19" ht="12.75" customHeight="1" x14ac:dyDescent="0.2">
      <c r="A8" s="30" t="s">
        <v>24</v>
      </c>
      <c r="B8" s="2" t="s">
        <v>25</v>
      </c>
      <c r="C8" s="35">
        <f>VLOOKUP(B8,CLASSES!$A$3:$B$8,2,FALSE)</f>
        <v>240</v>
      </c>
      <c r="D8" s="3">
        <v>46114</v>
      </c>
      <c r="E8" s="3">
        <v>46117</v>
      </c>
      <c r="F8" s="37">
        <f t="shared" si="1"/>
        <v>3</v>
      </c>
      <c r="G8" s="44">
        <f t="shared" si="2"/>
        <v>720</v>
      </c>
      <c r="H8" s="39">
        <f t="shared" si="3"/>
        <v>0</v>
      </c>
      <c r="I8" s="45">
        <v>25</v>
      </c>
      <c r="J8" s="41">
        <f t="shared" si="0"/>
        <v>745</v>
      </c>
      <c r="S8" s="1" t="s">
        <v>26</v>
      </c>
    </row>
    <row r="9" spans="1:19" ht="12.75" customHeight="1" x14ac:dyDescent="0.2">
      <c r="A9" s="30" t="s">
        <v>27</v>
      </c>
      <c r="B9" s="2" t="s">
        <v>28</v>
      </c>
      <c r="C9" s="35">
        <f>VLOOKUP(B9,CLASSES!$A$3:$B$8,2,FALSE)</f>
        <v>170</v>
      </c>
      <c r="D9" s="3">
        <v>46114</v>
      </c>
      <c r="E9" s="3">
        <v>46115</v>
      </c>
      <c r="F9" s="37">
        <f t="shared" si="1"/>
        <v>1</v>
      </c>
      <c r="G9" s="44">
        <f t="shared" si="2"/>
        <v>170</v>
      </c>
      <c r="H9" s="39">
        <f t="shared" si="3"/>
        <v>0</v>
      </c>
      <c r="I9" s="45">
        <v>35</v>
      </c>
      <c r="J9" s="41">
        <f t="shared" si="0"/>
        <v>205</v>
      </c>
      <c r="S9" s="1" t="s">
        <v>29</v>
      </c>
    </row>
    <row r="10" spans="1:19" ht="12.75" customHeight="1" x14ac:dyDescent="0.2">
      <c r="A10" s="30" t="s">
        <v>30</v>
      </c>
      <c r="B10" s="2" t="s">
        <v>22</v>
      </c>
      <c r="C10" s="35">
        <f>VLOOKUP(B10,CLASSES!$A$3:$B$8,2,FALSE)</f>
        <v>120</v>
      </c>
      <c r="D10" s="4">
        <v>46114</v>
      </c>
      <c r="E10" s="4">
        <v>46118</v>
      </c>
      <c r="F10" s="42">
        <f t="shared" si="1"/>
        <v>4</v>
      </c>
      <c r="G10" s="46">
        <f t="shared" si="2"/>
        <v>480</v>
      </c>
      <c r="H10" s="39">
        <f t="shared" si="3"/>
        <v>0</v>
      </c>
      <c r="I10" s="35">
        <v>30</v>
      </c>
      <c r="J10" s="41">
        <f t="shared" si="0"/>
        <v>510</v>
      </c>
      <c r="S10" s="1" t="s">
        <v>31</v>
      </c>
    </row>
    <row r="11" spans="1:19" ht="12.75" customHeight="1" x14ac:dyDescent="0.2">
      <c r="A11" s="30" t="s">
        <v>32</v>
      </c>
      <c r="B11" s="2" t="s">
        <v>28</v>
      </c>
      <c r="C11" s="35">
        <f>VLOOKUP(B11,CLASSES!$A$3:$B$8,2,FALSE)</f>
        <v>170</v>
      </c>
      <c r="D11" s="4">
        <v>46114</v>
      </c>
      <c r="E11" s="4">
        <v>46117</v>
      </c>
      <c r="F11" s="42">
        <f t="shared" si="1"/>
        <v>3</v>
      </c>
      <c r="G11" s="44">
        <f t="shared" si="2"/>
        <v>510</v>
      </c>
      <c r="H11" s="39">
        <f t="shared" si="3"/>
        <v>0</v>
      </c>
      <c r="I11" s="45">
        <v>30</v>
      </c>
      <c r="J11" s="41">
        <f t="shared" si="0"/>
        <v>540</v>
      </c>
      <c r="S11" s="1" t="s">
        <v>33</v>
      </c>
    </row>
    <row r="12" spans="1:19" ht="12.75" customHeight="1" x14ac:dyDescent="0.2">
      <c r="A12" s="30" t="s">
        <v>34</v>
      </c>
      <c r="B12" s="2" t="s">
        <v>28</v>
      </c>
      <c r="C12" s="35">
        <f>VLOOKUP(B12,CLASSES!$A$3:$B$8,2,FALSE)</f>
        <v>170</v>
      </c>
      <c r="D12" s="4">
        <v>46114</v>
      </c>
      <c r="E12" s="4">
        <v>46115</v>
      </c>
      <c r="F12" s="42">
        <f t="shared" si="1"/>
        <v>1</v>
      </c>
      <c r="G12" s="46">
        <f t="shared" si="2"/>
        <v>170</v>
      </c>
      <c r="H12" s="39">
        <f t="shared" si="3"/>
        <v>0</v>
      </c>
      <c r="I12" s="35">
        <v>50</v>
      </c>
      <c r="J12" s="41">
        <f t="shared" si="0"/>
        <v>220</v>
      </c>
      <c r="S12" s="1" t="s">
        <v>35</v>
      </c>
    </row>
    <row r="13" spans="1:19" ht="12.75" customHeight="1" x14ac:dyDescent="0.2">
      <c r="A13" s="30" t="s">
        <v>36</v>
      </c>
      <c r="B13" s="2" t="s">
        <v>16</v>
      </c>
      <c r="C13" s="35">
        <f>VLOOKUP(B13,CLASSES!$A$3:$B$8,2,FALSE)</f>
        <v>90</v>
      </c>
      <c r="D13" s="3">
        <v>46115</v>
      </c>
      <c r="E13" s="3">
        <v>46119</v>
      </c>
      <c r="F13" s="37">
        <f t="shared" si="1"/>
        <v>4</v>
      </c>
      <c r="G13" s="46">
        <f t="shared" si="2"/>
        <v>360</v>
      </c>
      <c r="H13" s="39">
        <f t="shared" si="3"/>
        <v>0</v>
      </c>
      <c r="I13" s="35">
        <v>0</v>
      </c>
      <c r="J13" s="41">
        <f t="shared" si="0"/>
        <v>360</v>
      </c>
      <c r="S13" s="1" t="s">
        <v>37</v>
      </c>
    </row>
    <row r="14" spans="1:19" ht="12.75" customHeight="1" x14ac:dyDescent="0.2">
      <c r="A14" s="30" t="s">
        <v>38</v>
      </c>
      <c r="B14" s="2" t="s">
        <v>19</v>
      </c>
      <c r="C14" s="35">
        <f>VLOOKUP(B14,CLASSES!$A$3:$B$8,2,FALSE)</f>
        <v>110</v>
      </c>
      <c r="D14" s="3">
        <v>46115</v>
      </c>
      <c r="E14" s="3">
        <v>46116</v>
      </c>
      <c r="F14" s="37">
        <f t="shared" si="1"/>
        <v>1</v>
      </c>
      <c r="G14" s="44">
        <f t="shared" si="2"/>
        <v>110</v>
      </c>
      <c r="H14" s="39">
        <f t="shared" si="3"/>
        <v>0</v>
      </c>
      <c r="I14" s="45">
        <v>5</v>
      </c>
      <c r="J14" s="41">
        <f t="shared" si="0"/>
        <v>115</v>
      </c>
      <c r="S14" s="1" t="s">
        <v>39</v>
      </c>
    </row>
    <row r="15" spans="1:19" ht="12.75" customHeight="1" x14ac:dyDescent="0.2">
      <c r="A15" s="30" t="s">
        <v>40</v>
      </c>
      <c r="B15" s="2" t="s">
        <v>25</v>
      </c>
      <c r="C15" s="35">
        <f>VLOOKUP(B15,CLASSES!$A$3:$B$8,2,FALSE)</f>
        <v>240</v>
      </c>
      <c r="D15" s="4">
        <v>46115</v>
      </c>
      <c r="E15" s="4">
        <v>46119</v>
      </c>
      <c r="F15" s="42">
        <f t="shared" si="1"/>
        <v>4</v>
      </c>
      <c r="G15" s="44">
        <f t="shared" si="2"/>
        <v>960</v>
      </c>
      <c r="H15" s="39">
        <f t="shared" si="3"/>
        <v>0</v>
      </c>
      <c r="I15" s="45">
        <v>0</v>
      </c>
      <c r="J15" s="41">
        <f t="shared" si="0"/>
        <v>960</v>
      </c>
      <c r="S15" s="1" t="s">
        <v>14</v>
      </c>
    </row>
    <row r="16" spans="1:19" ht="12.75" customHeight="1" x14ac:dyDescent="0.2">
      <c r="A16" s="30" t="s">
        <v>41</v>
      </c>
      <c r="B16" s="2" t="s">
        <v>13</v>
      </c>
      <c r="C16" s="35">
        <f>VLOOKUP(B16,CLASSES!$A$3:$B$8,2,FALSE)</f>
        <v>380</v>
      </c>
      <c r="D16" s="4">
        <v>46115</v>
      </c>
      <c r="E16" s="4">
        <v>46120</v>
      </c>
      <c r="F16" s="42">
        <f t="shared" si="1"/>
        <v>5</v>
      </c>
      <c r="G16" s="44">
        <f t="shared" si="2"/>
        <v>1900</v>
      </c>
      <c r="H16" s="39">
        <f t="shared" si="3"/>
        <v>380</v>
      </c>
      <c r="I16" s="45">
        <v>120</v>
      </c>
      <c r="J16" s="41">
        <f t="shared" si="0"/>
        <v>1640</v>
      </c>
      <c r="S16" s="1" t="s">
        <v>17</v>
      </c>
    </row>
    <row r="17" spans="1:19" ht="12.75" customHeight="1" x14ac:dyDescent="0.2">
      <c r="A17" s="30" t="s">
        <v>42</v>
      </c>
      <c r="B17" s="2" t="s">
        <v>25</v>
      </c>
      <c r="C17" s="35">
        <f>VLOOKUP(B17,CLASSES!$A$3:$B$8,2,FALSE)</f>
        <v>240</v>
      </c>
      <c r="D17" s="4">
        <v>46115</v>
      </c>
      <c r="E17" s="4">
        <v>46116</v>
      </c>
      <c r="F17" s="42">
        <f t="shared" si="1"/>
        <v>1</v>
      </c>
      <c r="G17" s="46">
        <f t="shared" si="2"/>
        <v>240</v>
      </c>
      <c r="H17" s="39">
        <f t="shared" si="3"/>
        <v>0</v>
      </c>
      <c r="I17" s="35">
        <v>120</v>
      </c>
      <c r="J17" s="41">
        <f t="shared" si="0"/>
        <v>360</v>
      </c>
      <c r="S17" s="1" t="s">
        <v>20</v>
      </c>
    </row>
    <row r="18" spans="1:19" ht="12.75" customHeight="1" x14ac:dyDescent="0.2">
      <c r="A18" s="30" t="s">
        <v>43</v>
      </c>
      <c r="B18" s="2" t="s">
        <v>22</v>
      </c>
      <c r="C18" s="35">
        <f>VLOOKUP(B18,CLASSES!$A$3:$B$8,2,FALSE)</f>
        <v>120</v>
      </c>
      <c r="D18" s="3">
        <v>46116</v>
      </c>
      <c r="E18" s="3">
        <v>46117</v>
      </c>
      <c r="F18" s="37">
        <f t="shared" si="1"/>
        <v>1</v>
      </c>
      <c r="G18" s="44">
        <f t="shared" si="2"/>
        <v>120</v>
      </c>
      <c r="H18" s="39">
        <f t="shared" si="3"/>
        <v>0</v>
      </c>
      <c r="I18" s="45">
        <v>0</v>
      </c>
      <c r="J18" s="41">
        <f t="shared" si="0"/>
        <v>120</v>
      </c>
      <c r="S18" s="1" t="s">
        <v>23</v>
      </c>
    </row>
    <row r="19" spans="1:19" ht="12.75" customHeight="1" x14ac:dyDescent="0.2">
      <c r="A19" s="30" t="s">
        <v>44</v>
      </c>
      <c r="B19" s="2" t="s">
        <v>16</v>
      </c>
      <c r="C19" s="35">
        <f>VLOOKUP(B19,CLASSES!$A$3:$B$8,2,FALSE)</f>
        <v>90</v>
      </c>
      <c r="D19" s="4">
        <v>46116</v>
      </c>
      <c r="E19" s="4">
        <v>46118</v>
      </c>
      <c r="F19" s="42">
        <f t="shared" si="1"/>
        <v>2</v>
      </c>
      <c r="G19" s="44">
        <f t="shared" si="2"/>
        <v>180</v>
      </c>
      <c r="H19" s="39">
        <f t="shared" si="3"/>
        <v>0</v>
      </c>
      <c r="I19" s="45">
        <v>50</v>
      </c>
      <c r="J19" s="41">
        <f t="shared" si="0"/>
        <v>230</v>
      </c>
      <c r="S19" s="1" t="s">
        <v>26</v>
      </c>
    </row>
    <row r="20" spans="1:19" ht="12.75" customHeight="1" x14ac:dyDescent="0.2">
      <c r="A20" s="30" t="s">
        <v>45</v>
      </c>
      <c r="B20" s="2" t="s">
        <v>19</v>
      </c>
      <c r="C20" s="35">
        <f>VLOOKUP(B20,CLASSES!$A$3:$B$8,2,FALSE)</f>
        <v>110</v>
      </c>
      <c r="D20" s="4">
        <v>46116</v>
      </c>
      <c r="E20" s="4">
        <v>46121</v>
      </c>
      <c r="F20" s="42">
        <f t="shared" si="1"/>
        <v>5</v>
      </c>
      <c r="G20" s="46">
        <f t="shared" si="2"/>
        <v>550</v>
      </c>
      <c r="H20" s="39">
        <f t="shared" si="3"/>
        <v>0</v>
      </c>
      <c r="I20" s="35">
        <v>50</v>
      </c>
      <c r="J20" s="41">
        <f t="shared" si="0"/>
        <v>600</v>
      </c>
      <c r="S20" s="1" t="s">
        <v>29</v>
      </c>
    </row>
    <row r="21" spans="1:19" ht="12.75" customHeight="1" x14ac:dyDescent="0.2">
      <c r="A21" s="30" t="s">
        <v>46</v>
      </c>
      <c r="B21" s="2" t="s">
        <v>13</v>
      </c>
      <c r="C21" s="35">
        <f>VLOOKUP(B21,CLASSES!$A$3:$B$8,2,FALSE)</f>
        <v>380</v>
      </c>
      <c r="D21" s="4">
        <v>46116</v>
      </c>
      <c r="E21" s="4">
        <v>46117</v>
      </c>
      <c r="F21" s="42">
        <f t="shared" si="1"/>
        <v>1</v>
      </c>
      <c r="G21" s="46">
        <f t="shared" si="2"/>
        <v>380</v>
      </c>
      <c r="H21" s="39">
        <f t="shared" si="3"/>
        <v>0</v>
      </c>
      <c r="I21" s="35">
        <v>30</v>
      </c>
      <c r="J21" s="41">
        <f t="shared" si="0"/>
        <v>410</v>
      </c>
      <c r="S21" s="1" t="s">
        <v>31</v>
      </c>
    </row>
    <row r="22" spans="1:19" ht="12.75" customHeight="1" x14ac:dyDescent="0.2">
      <c r="A22" s="30" t="s">
        <v>47</v>
      </c>
      <c r="B22" s="2" t="s">
        <v>28</v>
      </c>
      <c r="C22" s="35">
        <f>VLOOKUP(B22,CLASSES!$A$3:$B$8,2,FALSE)</f>
        <v>170</v>
      </c>
      <c r="D22" s="3">
        <v>46117</v>
      </c>
      <c r="E22" s="3">
        <v>46118</v>
      </c>
      <c r="F22" s="37">
        <f t="shared" si="1"/>
        <v>1</v>
      </c>
      <c r="G22" s="46">
        <f t="shared" si="2"/>
        <v>170</v>
      </c>
      <c r="H22" s="39">
        <f t="shared" si="3"/>
        <v>0</v>
      </c>
      <c r="I22" s="35">
        <v>5</v>
      </c>
      <c r="J22" s="41">
        <f t="shared" si="0"/>
        <v>175</v>
      </c>
      <c r="S22" s="1" t="s">
        <v>33</v>
      </c>
    </row>
    <row r="23" spans="1:19" ht="12.75" customHeight="1" x14ac:dyDescent="0.2">
      <c r="A23" s="30" t="s">
        <v>48</v>
      </c>
      <c r="B23" s="2" t="s">
        <v>22</v>
      </c>
      <c r="C23" s="35">
        <f>VLOOKUP(B23,CLASSES!$A$3:$B$8,2,FALSE)</f>
        <v>120</v>
      </c>
      <c r="D23" s="4">
        <v>46117</v>
      </c>
      <c r="E23" s="4">
        <v>46122</v>
      </c>
      <c r="F23" s="42">
        <f t="shared" si="1"/>
        <v>5</v>
      </c>
      <c r="G23" s="46">
        <f t="shared" si="2"/>
        <v>600</v>
      </c>
      <c r="H23" s="39">
        <f t="shared" si="3"/>
        <v>0</v>
      </c>
      <c r="I23" s="35">
        <v>120</v>
      </c>
      <c r="J23" s="41">
        <f t="shared" si="0"/>
        <v>720</v>
      </c>
      <c r="S23" s="1" t="s">
        <v>35</v>
      </c>
    </row>
    <row r="24" spans="1:19" ht="12.75" customHeight="1" x14ac:dyDescent="0.2">
      <c r="A24" s="30" t="s">
        <v>49</v>
      </c>
      <c r="B24" s="2" t="s">
        <v>28</v>
      </c>
      <c r="C24" s="35">
        <f>VLOOKUP(B24,CLASSES!$A$3:$B$8,2,FALSE)</f>
        <v>170</v>
      </c>
      <c r="D24" s="4">
        <v>46117</v>
      </c>
      <c r="E24" s="4">
        <v>46120</v>
      </c>
      <c r="F24" s="42">
        <f t="shared" si="1"/>
        <v>3</v>
      </c>
      <c r="G24" s="46">
        <f t="shared" si="2"/>
        <v>510</v>
      </c>
      <c r="H24" s="39">
        <f t="shared" si="3"/>
        <v>0</v>
      </c>
      <c r="I24" s="35">
        <v>30</v>
      </c>
      <c r="J24" s="41">
        <f t="shared" si="0"/>
        <v>540</v>
      </c>
      <c r="S24" s="1" t="s">
        <v>37</v>
      </c>
    </row>
    <row r="25" spans="1:19" ht="12.75" customHeight="1" x14ac:dyDescent="0.2">
      <c r="A25" s="30" t="s">
        <v>50</v>
      </c>
      <c r="B25" s="2" t="s">
        <v>16</v>
      </c>
      <c r="C25" s="35">
        <f>VLOOKUP(B25,CLASSES!$A$3:$B$8,2,FALSE)</f>
        <v>90</v>
      </c>
      <c r="D25" s="4">
        <v>46117</v>
      </c>
      <c r="E25" s="4">
        <v>46118</v>
      </c>
      <c r="F25" s="42">
        <f t="shared" si="1"/>
        <v>1</v>
      </c>
      <c r="G25" s="46">
        <f t="shared" si="2"/>
        <v>90</v>
      </c>
      <c r="H25" s="39">
        <f t="shared" si="3"/>
        <v>0</v>
      </c>
      <c r="I25" s="35">
        <v>25</v>
      </c>
      <c r="J25" s="41">
        <f t="shared" si="0"/>
        <v>115</v>
      </c>
      <c r="S25" s="1" t="s">
        <v>39</v>
      </c>
    </row>
    <row r="26" spans="1:19" ht="12.75" customHeight="1" x14ac:dyDescent="0.2">
      <c r="A26" s="30" t="s">
        <v>51</v>
      </c>
      <c r="B26" s="2" t="s">
        <v>25</v>
      </c>
      <c r="C26" s="35">
        <f>VLOOKUP(B26,CLASSES!$A$3:$B$8,2,FALSE)</f>
        <v>240</v>
      </c>
      <c r="D26" s="3">
        <v>46118</v>
      </c>
      <c r="E26" s="3">
        <v>46119</v>
      </c>
      <c r="F26" s="37">
        <f t="shared" si="1"/>
        <v>1</v>
      </c>
      <c r="G26" s="46">
        <f t="shared" si="2"/>
        <v>240</v>
      </c>
      <c r="H26" s="39">
        <f t="shared" si="3"/>
        <v>0</v>
      </c>
      <c r="I26" s="35">
        <v>0</v>
      </c>
      <c r="J26" s="41">
        <f t="shared" si="0"/>
        <v>240</v>
      </c>
      <c r="S26" s="1"/>
    </row>
    <row r="27" spans="1:19" ht="12.75" customHeight="1" x14ac:dyDescent="0.2">
      <c r="A27" s="30" t="s">
        <v>52</v>
      </c>
      <c r="B27" s="2" t="s">
        <v>25</v>
      </c>
      <c r="C27" s="35">
        <f>VLOOKUP(B27,CLASSES!$A$3:$B$8,2,FALSE)</f>
        <v>240</v>
      </c>
      <c r="D27" s="4">
        <v>46118</v>
      </c>
      <c r="E27" s="4">
        <v>46123</v>
      </c>
      <c r="F27" s="42">
        <f t="shared" si="1"/>
        <v>5</v>
      </c>
      <c r="G27" s="38">
        <f t="shared" si="2"/>
        <v>1200</v>
      </c>
      <c r="H27" s="39">
        <f t="shared" si="3"/>
        <v>0</v>
      </c>
      <c r="I27" s="36">
        <v>25</v>
      </c>
      <c r="J27" s="41">
        <f t="shared" si="0"/>
        <v>1225</v>
      </c>
      <c r="S27" s="1"/>
    </row>
    <row r="28" spans="1:19" ht="12.75" customHeight="1" x14ac:dyDescent="0.2">
      <c r="A28" s="30" t="s">
        <v>53</v>
      </c>
      <c r="B28" s="2" t="s">
        <v>13</v>
      </c>
      <c r="C28" s="35">
        <f>VLOOKUP(B28,CLASSES!$A$3:$B$8,2,FALSE)</f>
        <v>380</v>
      </c>
      <c r="D28" s="4">
        <v>46118</v>
      </c>
      <c r="E28" s="4">
        <v>46124</v>
      </c>
      <c r="F28" s="42">
        <f t="shared" si="1"/>
        <v>6</v>
      </c>
      <c r="G28" s="47">
        <f t="shared" si="2"/>
        <v>2280</v>
      </c>
      <c r="H28" s="39">
        <f t="shared" si="3"/>
        <v>456</v>
      </c>
      <c r="I28" s="40">
        <v>20</v>
      </c>
      <c r="J28" s="41">
        <f t="shared" si="0"/>
        <v>1844</v>
      </c>
      <c r="S28" s="1"/>
    </row>
    <row r="29" spans="1:19" ht="12.75" customHeight="1" x14ac:dyDescent="0.2">
      <c r="A29" s="30" t="s">
        <v>54</v>
      </c>
      <c r="B29" s="2" t="s">
        <v>19</v>
      </c>
      <c r="C29" s="35">
        <f>VLOOKUP(B29,CLASSES!$A$3:$B$8,2,FALSE)</f>
        <v>110</v>
      </c>
      <c r="D29" s="4">
        <v>46118</v>
      </c>
      <c r="E29" s="4">
        <v>46119</v>
      </c>
      <c r="F29" s="42">
        <f t="shared" si="1"/>
        <v>1</v>
      </c>
      <c r="G29" s="47">
        <f t="shared" si="2"/>
        <v>110</v>
      </c>
      <c r="H29" s="39">
        <f t="shared" si="3"/>
        <v>0</v>
      </c>
      <c r="I29" s="40">
        <v>20</v>
      </c>
      <c r="J29" s="41">
        <f t="shared" si="0"/>
        <v>130</v>
      </c>
      <c r="S29" s="1"/>
    </row>
    <row r="30" spans="1:19" ht="12.75" customHeight="1" x14ac:dyDescent="0.2">
      <c r="A30" s="30" t="s">
        <v>55</v>
      </c>
      <c r="B30" s="2" t="s">
        <v>13</v>
      </c>
      <c r="C30" s="35">
        <f>VLOOKUP(B30,CLASSES!$A$3:$B$8,2,FALSE)</f>
        <v>380</v>
      </c>
      <c r="D30" s="3">
        <v>46119</v>
      </c>
      <c r="E30" s="3">
        <v>46120</v>
      </c>
      <c r="F30" s="37">
        <f t="shared" si="1"/>
        <v>1</v>
      </c>
      <c r="G30" s="46">
        <f t="shared" si="2"/>
        <v>380</v>
      </c>
      <c r="H30" s="39">
        <f t="shared" si="3"/>
        <v>0</v>
      </c>
      <c r="I30" s="35">
        <v>30</v>
      </c>
      <c r="J30" s="41">
        <f t="shared" si="0"/>
        <v>410</v>
      </c>
      <c r="S30" s="1"/>
    </row>
    <row r="31" spans="1:19" ht="12.75" customHeight="1" x14ac:dyDescent="0.2">
      <c r="A31" s="30" t="s">
        <v>56</v>
      </c>
      <c r="B31" s="2" t="s">
        <v>16</v>
      </c>
      <c r="C31" s="35">
        <f>VLOOKUP(B31,CLASSES!$A$3:$B$8,2,FALSE)</f>
        <v>90</v>
      </c>
      <c r="D31" s="3">
        <v>46119</v>
      </c>
      <c r="E31" s="3">
        <v>46120</v>
      </c>
      <c r="F31" s="37">
        <f t="shared" si="1"/>
        <v>1</v>
      </c>
      <c r="G31" s="44">
        <f t="shared" si="2"/>
        <v>90</v>
      </c>
      <c r="H31" s="39">
        <f t="shared" si="3"/>
        <v>0</v>
      </c>
      <c r="I31" s="45">
        <v>30</v>
      </c>
      <c r="J31" s="41">
        <f t="shared" si="0"/>
        <v>120</v>
      </c>
      <c r="S31" s="1"/>
    </row>
    <row r="32" spans="1:19" ht="12.75" customHeight="1" x14ac:dyDescent="0.2">
      <c r="A32" s="30" t="s">
        <v>57</v>
      </c>
      <c r="B32" s="2" t="s">
        <v>16</v>
      </c>
      <c r="C32" s="35">
        <f>VLOOKUP(B32,CLASSES!$A$3:$B$8,2,FALSE)</f>
        <v>90</v>
      </c>
      <c r="D32" s="4">
        <v>46119</v>
      </c>
      <c r="E32" s="4">
        <v>46121</v>
      </c>
      <c r="F32" s="42">
        <f t="shared" si="1"/>
        <v>2</v>
      </c>
      <c r="G32" s="44">
        <f t="shared" si="2"/>
        <v>180</v>
      </c>
      <c r="H32" s="39">
        <f t="shared" si="3"/>
        <v>0</v>
      </c>
      <c r="I32" s="45">
        <v>30</v>
      </c>
      <c r="J32" s="41">
        <f t="shared" si="0"/>
        <v>210</v>
      </c>
      <c r="S32" s="1"/>
    </row>
    <row r="33" spans="1:19" ht="12.75" customHeight="1" x14ac:dyDescent="0.2">
      <c r="A33" s="30" t="s">
        <v>58</v>
      </c>
      <c r="B33" s="2" t="s">
        <v>19</v>
      </c>
      <c r="C33" s="35">
        <f>VLOOKUP(B33,CLASSES!$A$3:$B$8,2,FALSE)</f>
        <v>110</v>
      </c>
      <c r="D33" s="4">
        <v>46119</v>
      </c>
      <c r="E33" s="4">
        <v>46125</v>
      </c>
      <c r="F33" s="42">
        <f t="shared" si="1"/>
        <v>6</v>
      </c>
      <c r="G33" s="44">
        <f t="shared" si="2"/>
        <v>660</v>
      </c>
      <c r="H33" s="39">
        <f t="shared" si="3"/>
        <v>0</v>
      </c>
      <c r="I33" s="45">
        <v>25</v>
      </c>
      <c r="J33" s="41">
        <f t="shared" si="0"/>
        <v>685</v>
      </c>
      <c r="S33" s="1"/>
    </row>
    <row r="34" spans="1:19" ht="12.75" customHeight="1" x14ac:dyDescent="0.2">
      <c r="A34" s="30" t="s">
        <v>59</v>
      </c>
      <c r="B34" s="2" t="s">
        <v>22</v>
      </c>
      <c r="C34" s="35">
        <f>VLOOKUP(B34,CLASSES!$A$3:$B$8,2,FALSE)</f>
        <v>120</v>
      </c>
      <c r="D34" s="4">
        <v>46119</v>
      </c>
      <c r="E34" s="4">
        <v>46120</v>
      </c>
      <c r="F34" s="42">
        <f t="shared" si="1"/>
        <v>1</v>
      </c>
      <c r="G34" s="44">
        <f t="shared" si="2"/>
        <v>120</v>
      </c>
      <c r="H34" s="39">
        <f t="shared" si="3"/>
        <v>0</v>
      </c>
      <c r="I34" s="45">
        <v>30</v>
      </c>
      <c r="J34" s="41">
        <f t="shared" si="0"/>
        <v>150</v>
      </c>
      <c r="S34" s="1"/>
    </row>
    <row r="35" spans="1:19" ht="12.75" customHeight="1" x14ac:dyDescent="0.2">
      <c r="A35" s="30" t="s">
        <v>60</v>
      </c>
      <c r="B35" s="2" t="s">
        <v>19</v>
      </c>
      <c r="C35" s="35">
        <f>VLOOKUP(B35,CLASSES!$A$3:$B$8,2,FALSE)</f>
        <v>110</v>
      </c>
      <c r="D35" s="3">
        <v>46120</v>
      </c>
      <c r="E35" s="3">
        <v>46121</v>
      </c>
      <c r="F35" s="37">
        <f t="shared" si="1"/>
        <v>1</v>
      </c>
      <c r="G35" s="44">
        <f t="shared" si="2"/>
        <v>110</v>
      </c>
      <c r="H35" s="39">
        <f t="shared" si="3"/>
        <v>0</v>
      </c>
      <c r="I35" s="45">
        <v>0</v>
      </c>
      <c r="J35" s="41">
        <f t="shared" si="0"/>
        <v>110</v>
      </c>
      <c r="S35" s="1"/>
    </row>
    <row r="36" spans="1:19" ht="12.75" customHeight="1" x14ac:dyDescent="0.2">
      <c r="A36" s="30" t="s">
        <v>61</v>
      </c>
      <c r="B36" s="2" t="s">
        <v>22</v>
      </c>
      <c r="C36" s="35">
        <f>VLOOKUP(B36,CLASSES!$A$3:$B$8,2,FALSE)</f>
        <v>120</v>
      </c>
      <c r="D36" s="4">
        <v>46120</v>
      </c>
      <c r="E36" s="4">
        <v>46126</v>
      </c>
      <c r="F36" s="42">
        <f t="shared" ref="F36:F67" si="4">E36-D36</f>
        <v>6</v>
      </c>
      <c r="G36" s="44">
        <f t="shared" ref="G36:G67" si="5">C36*F36</f>
        <v>720</v>
      </c>
      <c r="H36" s="39">
        <f t="shared" si="3"/>
        <v>0</v>
      </c>
      <c r="I36" s="45">
        <v>35</v>
      </c>
      <c r="J36" s="41">
        <f t="shared" ref="J36:J67" si="6">G36-H36+I36</f>
        <v>755</v>
      </c>
      <c r="S36" s="1"/>
    </row>
    <row r="37" spans="1:19" ht="12.75" customHeight="1" x14ac:dyDescent="0.2">
      <c r="A37" s="30" t="s">
        <v>62</v>
      </c>
      <c r="B37" s="2" t="s">
        <v>28</v>
      </c>
      <c r="C37" s="35">
        <f>VLOOKUP(B37,CLASSES!$A$3:$B$8,2,FALSE)</f>
        <v>170</v>
      </c>
      <c r="D37" s="4">
        <v>46120</v>
      </c>
      <c r="E37" s="4">
        <v>46124</v>
      </c>
      <c r="F37" s="42">
        <f t="shared" si="4"/>
        <v>4</v>
      </c>
      <c r="G37" s="46">
        <f t="shared" si="5"/>
        <v>680</v>
      </c>
      <c r="H37" s="39">
        <f t="shared" si="3"/>
        <v>0</v>
      </c>
      <c r="I37" s="35">
        <v>10</v>
      </c>
      <c r="J37" s="41">
        <f t="shared" si="6"/>
        <v>690</v>
      </c>
      <c r="S37" s="1"/>
    </row>
    <row r="38" spans="1:19" ht="12.75" customHeight="1" x14ac:dyDescent="0.2">
      <c r="A38" s="30" t="s">
        <v>63</v>
      </c>
      <c r="B38" s="2" t="s">
        <v>28</v>
      </c>
      <c r="C38" s="35">
        <f>VLOOKUP(B38,CLASSES!$A$3:$B$8,2,FALSE)</f>
        <v>170</v>
      </c>
      <c r="D38" s="4">
        <v>46120</v>
      </c>
      <c r="E38" s="4">
        <v>46121</v>
      </c>
      <c r="F38" s="42">
        <f t="shared" si="4"/>
        <v>1</v>
      </c>
      <c r="G38" s="47">
        <f t="shared" si="5"/>
        <v>170</v>
      </c>
      <c r="H38" s="39">
        <f t="shared" si="3"/>
        <v>0</v>
      </c>
      <c r="I38" s="40">
        <v>25</v>
      </c>
      <c r="J38" s="41">
        <f t="shared" si="6"/>
        <v>195</v>
      </c>
      <c r="S38" s="1"/>
    </row>
    <row r="39" spans="1:19" ht="12.75" customHeight="1" x14ac:dyDescent="0.2">
      <c r="A39" s="30" t="s">
        <v>64</v>
      </c>
      <c r="B39" s="2" t="s">
        <v>22</v>
      </c>
      <c r="C39" s="35">
        <f>VLOOKUP(B39,CLASSES!$A$3:$B$8,2,FALSE)</f>
        <v>120</v>
      </c>
      <c r="D39" s="3">
        <v>46121</v>
      </c>
      <c r="E39" s="3">
        <v>46122</v>
      </c>
      <c r="F39" s="37">
        <f t="shared" si="4"/>
        <v>1</v>
      </c>
      <c r="G39" s="47">
        <f t="shared" si="5"/>
        <v>120</v>
      </c>
      <c r="H39" s="39">
        <f t="shared" si="3"/>
        <v>0</v>
      </c>
      <c r="I39" s="40">
        <v>0</v>
      </c>
      <c r="J39" s="41">
        <f t="shared" si="6"/>
        <v>120</v>
      </c>
      <c r="S39" s="1"/>
    </row>
    <row r="40" spans="1:19" ht="12.75" customHeight="1" x14ac:dyDescent="0.2">
      <c r="A40" s="30" t="s">
        <v>65</v>
      </c>
      <c r="B40" s="2" t="s">
        <v>28</v>
      </c>
      <c r="C40" s="35">
        <f>VLOOKUP(B40,CLASSES!$A$3:$B$8,2,FALSE)</f>
        <v>170</v>
      </c>
      <c r="D40" s="3">
        <v>46121</v>
      </c>
      <c r="E40" s="3">
        <v>46122</v>
      </c>
      <c r="F40" s="37">
        <f t="shared" si="4"/>
        <v>1</v>
      </c>
      <c r="G40" s="38">
        <f t="shared" si="5"/>
        <v>170</v>
      </c>
      <c r="H40" s="39">
        <f t="shared" si="3"/>
        <v>0</v>
      </c>
      <c r="I40" s="36">
        <v>5</v>
      </c>
      <c r="J40" s="41">
        <f t="shared" si="6"/>
        <v>175</v>
      </c>
      <c r="S40" s="1"/>
    </row>
    <row r="41" spans="1:19" ht="12.75" customHeight="1" x14ac:dyDescent="0.2">
      <c r="A41" s="30" t="s">
        <v>66</v>
      </c>
      <c r="B41" s="2" t="s">
        <v>25</v>
      </c>
      <c r="C41" s="35">
        <f>VLOOKUP(B41,CLASSES!$A$3:$B$8,2,FALSE)</f>
        <v>240</v>
      </c>
      <c r="D41" s="4">
        <v>46121</v>
      </c>
      <c r="E41" s="4">
        <v>46127</v>
      </c>
      <c r="F41" s="42">
        <f t="shared" si="4"/>
        <v>6</v>
      </c>
      <c r="G41" s="47">
        <f t="shared" si="5"/>
        <v>1440</v>
      </c>
      <c r="H41" s="39">
        <f t="shared" si="3"/>
        <v>0</v>
      </c>
      <c r="I41" s="40">
        <v>10</v>
      </c>
      <c r="J41" s="41">
        <f t="shared" si="6"/>
        <v>1450</v>
      </c>
      <c r="S41" s="1" t="s">
        <v>67</v>
      </c>
    </row>
    <row r="42" spans="1:19" ht="12.75" customHeight="1" x14ac:dyDescent="0.2">
      <c r="A42" s="30" t="s">
        <v>68</v>
      </c>
      <c r="B42" s="2" t="s">
        <v>13</v>
      </c>
      <c r="C42" s="35">
        <f>VLOOKUP(B42,CLASSES!$A$3:$B$8,2,FALSE)</f>
        <v>380</v>
      </c>
      <c r="D42" s="4">
        <v>46121</v>
      </c>
      <c r="E42" s="4">
        <v>46128</v>
      </c>
      <c r="F42" s="42">
        <f t="shared" si="4"/>
        <v>7</v>
      </c>
      <c r="G42" s="46">
        <f t="shared" si="5"/>
        <v>2660</v>
      </c>
      <c r="H42" s="39">
        <f t="shared" si="3"/>
        <v>532</v>
      </c>
      <c r="I42" s="35">
        <v>0</v>
      </c>
      <c r="J42" s="41">
        <f t="shared" si="6"/>
        <v>2128</v>
      </c>
      <c r="S42" s="1" t="s">
        <v>69</v>
      </c>
    </row>
    <row r="43" spans="1:19" ht="12.75" customHeight="1" x14ac:dyDescent="0.2">
      <c r="A43" s="30" t="s">
        <v>70</v>
      </c>
      <c r="B43" s="2" t="s">
        <v>25</v>
      </c>
      <c r="C43" s="35">
        <f>VLOOKUP(B43,CLASSES!$A$3:$B$8,2,FALSE)</f>
        <v>240</v>
      </c>
      <c r="D43" s="4">
        <v>46121</v>
      </c>
      <c r="E43" s="4">
        <v>46122</v>
      </c>
      <c r="F43" s="42">
        <f t="shared" si="4"/>
        <v>1</v>
      </c>
      <c r="G43" s="44">
        <f t="shared" si="5"/>
        <v>240</v>
      </c>
      <c r="H43" s="39">
        <f t="shared" si="3"/>
        <v>0</v>
      </c>
      <c r="I43" s="45">
        <v>35</v>
      </c>
      <c r="J43" s="41">
        <f t="shared" si="6"/>
        <v>275</v>
      </c>
      <c r="S43" s="1" t="s">
        <v>71</v>
      </c>
    </row>
    <row r="44" spans="1:19" ht="12.75" customHeight="1" x14ac:dyDescent="0.2">
      <c r="A44" s="30" t="s">
        <v>72</v>
      </c>
      <c r="B44" s="2" t="s">
        <v>25</v>
      </c>
      <c r="C44" s="35">
        <f>VLOOKUP(B44,CLASSES!$A$3:$B$8,2,FALSE)</f>
        <v>240</v>
      </c>
      <c r="D44" s="3">
        <v>46122</v>
      </c>
      <c r="E44" s="3">
        <v>46125</v>
      </c>
      <c r="F44" s="37">
        <f t="shared" si="4"/>
        <v>3</v>
      </c>
      <c r="G44" s="38">
        <f t="shared" si="5"/>
        <v>720</v>
      </c>
      <c r="H44" s="39">
        <f t="shared" si="3"/>
        <v>0</v>
      </c>
      <c r="I44" s="36">
        <v>0</v>
      </c>
      <c r="J44" s="41">
        <f t="shared" si="6"/>
        <v>720</v>
      </c>
      <c r="S44" s="1" t="s">
        <v>73</v>
      </c>
    </row>
    <row r="45" spans="1:19" ht="12.75" customHeight="1" x14ac:dyDescent="0.2">
      <c r="A45" s="31" t="s">
        <v>36</v>
      </c>
      <c r="B45" s="2" t="s">
        <v>13</v>
      </c>
      <c r="C45" s="36">
        <f>VLOOKUP(B45,CLASSES!$A$3:$B$8,2,FALSE)</f>
        <v>380</v>
      </c>
      <c r="D45" s="5">
        <v>46122</v>
      </c>
      <c r="E45" s="5">
        <v>46125</v>
      </c>
      <c r="F45" s="48">
        <f t="shared" si="4"/>
        <v>3</v>
      </c>
      <c r="G45" s="38">
        <f t="shared" si="5"/>
        <v>1140</v>
      </c>
      <c r="H45" s="39">
        <f t="shared" si="3"/>
        <v>0</v>
      </c>
      <c r="I45" s="36">
        <v>30</v>
      </c>
      <c r="J45" s="49">
        <f t="shared" si="6"/>
        <v>1170</v>
      </c>
      <c r="S45" s="1" t="s">
        <v>74</v>
      </c>
    </row>
    <row r="46" spans="1:19" x14ac:dyDescent="0.2">
      <c r="A46" s="31" t="s">
        <v>75</v>
      </c>
      <c r="B46" s="2" t="s">
        <v>16</v>
      </c>
      <c r="C46" s="36">
        <f>VLOOKUP(B46,CLASSES!$A$3:$B$8,2,FALSE)</f>
        <v>90</v>
      </c>
      <c r="D46" s="3">
        <v>46122</v>
      </c>
      <c r="E46" s="3">
        <v>46125</v>
      </c>
      <c r="F46" s="37">
        <f t="shared" si="4"/>
        <v>3</v>
      </c>
      <c r="G46" s="38">
        <f t="shared" si="5"/>
        <v>270</v>
      </c>
      <c r="H46" s="39">
        <f t="shared" si="3"/>
        <v>0</v>
      </c>
      <c r="I46" s="36">
        <v>0</v>
      </c>
      <c r="J46" s="49">
        <f t="shared" si="6"/>
        <v>270</v>
      </c>
      <c r="S46" s="1" t="s">
        <v>76</v>
      </c>
    </row>
    <row r="47" spans="1:19" ht="12.75" customHeight="1" x14ac:dyDescent="0.2">
      <c r="A47" s="31" t="s">
        <v>77</v>
      </c>
      <c r="B47" s="2" t="s">
        <v>19</v>
      </c>
      <c r="C47" s="36">
        <f>VLOOKUP(B47,CLASSES!$A$3:$B$8,2,FALSE)</f>
        <v>110</v>
      </c>
      <c r="D47" s="3">
        <v>46122</v>
      </c>
      <c r="E47" s="3">
        <v>46125</v>
      </c>
      <c r="F47" s="37">
        <f t="shared" si="4"/>
        <v>3</v>
      </c>
      <c r="G47" s="44">
        <f t="shared" si="5"/>
        <v>330</v>
      </c>
      <c r="H47" s="39">
        <f t="shared" si="3"/>
        <v>0</v>
      </c>
      <c r="I47" s="45">
        <v>5</v>
      </c>
      <c r="J47" s="49">
        <f t="shared" si="6"/>
        <v>335</v>
      </c>
      <c r="S47" s="1" t="s">
        <v>72</v>
      </c>
    </row>
    <row r="48" spans="1:19" ht="12.75" customHeight="1" x14ac:dyDescent="0.2">
      <c r="A48" s="31" t="s">
        <v>78</v>
      </c>
      <c r="B48" s="2" t="s">
        <v>22</v>
      </c>
      <c r="C48" s="36">
        <f>VLOOKUP(B48,CLASSES!$A$3:$B$8,2,FALSE)</f>
        <v>120</v>
      </c>
      <c r="D48" s="3">
        <v>46122</v>
      </c>
      <c r="E48" s="3">
        <v>46123</v>
      </c>
      <c r="F48" s="37">
        <f t="shared" si="4"/>
        <v>1</v>
      </c>
      <c r="G48" s="44">
        <f t="shared" si="5"/>
        <v>120</v>
      </c>
      <c r="H48" s="39">
        <f t="shared" si="3"/>
        <v>0</v>
      </c>
      <c r="I48" s="45">
        <v>0</v>
      </c>
      <c r="J48" s="49">
        <f t="shared" si="6"/>
        <v>120</v>
      </c>
      <c r="S48" s="1" t="s">
        <v>79</v>
      </c>
    </row>
    <row r="49" spans="1:19" ht="12.75" customHeight="1" x14ac:dyDescent="0.2">
      <c r="A49" s="31" t="s">
        <v>80</v>
      </c>
      <c r="B49" s="2" t="s">
        <v>28</v>
      </c>
      <c r="C49" s="36">
        <f>VLOOKUP(B49,CLASSES!$A$3:$B$8,2,FALSE)</f>
        <v>170</v>
      </c>
      <c r="D49" s="3">
        <v>46122</v>
      </c>
      <c r="E49" s="3">
        <v>46123</v>
      </c>
      <c r="F49" s="37">
        <f t="shared" si="4"/>
        <v>1</v>
      </c>
      <c r="G49" s="46">
        <f t="shared" si="5"/>
        <v>170</v>
      </c>
      <c r="H49" s="39">
        <f t="shared" si="3"/>
        <v>0</v>
      </c>
      <c r="I49" s="35">
        <v>5</v>
      </c>
      <c r="J49" s="49">
        <f t="shared" si="6"/>
        <v>175</v>
      </c>
      <c r="S49" s="1" t="s">
        <v>81</v>
      </c>
    </row>
    <row r="50" spans="1:19" ht="12.75" customHeight="1" x14ac:dyDescent="0.2">
      <c r="A50" s="31" t="s">
        <v>82</v>
      </c>
      <c r="B50" s="2" t="s">
        <v>16</v>
      </c>
      <c r="C50" s="36">
        <f>VLOOKUP(B50,CLASSES!$A$3:$B$8,2,FALSE)</f>
        <v>90</v>
      </c>
      <c r="D50" s="4">
        <v>46122</v>
      </c>
      <c r="E50" s="4">
        <v>46124</v>
      </c>
      <c r="F50" s="42">
        <f t="shared" si="4"/>
        <v>2</v>
      </c>
      <c r="G50" s="44">
        <f t="shared" si="5"/>
        <v>180</v>
      </c>
      <c r="H50" s="39">
        <f t="shared" si="3"/>
        <v>0</v>
      </c>
      <c r="I50" s="45">
        <v>5</v>
      </c>
      <c r="J50" s="49">
        <f t="shared" si="6"/>
        <v>185</v>
      </c>
      <c r="S50" s="1" t="s">
        <v>36</v>
      </c>
    </row>
    <row r="51" spans="1:19" ht="12.75" customHeight="1" x14ac:dyDescent="0.2">
      <c r="A51" s="31" t="s">
        <v>83</v>
      </c>
      <c r="B51" s="2" t="s">
        <v>19</v>
      </c>
      <c r="C51" s="36">
        <f>VLOOKUP(B51,CLASSES!$A$3:$B$8,2,FALSE)</f>
        <v>110</v>
      </c>
      <c r="D51" s="4">
        <v>46122</v>
      </c>
      <c r="E51" s="4">
        <v>46129</v>
      </c>
      <c r="F51" s="42">
        <f t="shared" si="4"/>
        <v>7</v>
      </c>
      <c r="G51" s="44">
        <f t="shared" si="5"/>
        <v>770</v>
      </c>
      <c r="H51" s="39">
        <f t="shared" si="3"/>
        <v>0</v>
      </c>
      <c r="I51" s="45">
        <v>0</v>
      </c>
      <c r="J51" s="49">
        <f t="shared" si="6"/>
        <v>770</v>
      </c>
      <c r="S51" s="1" t="s">
        <v>77</v>
      </c>
    </row>
    <row r="52" spans="1:19" ht="12.75" customHeight="1" x14ac:dyDescent="0.2">
      <c r="A52" s="31" t="s">
        <v>84</v>
      </c>
      <c r="B52" s="2" t="s">
        <v>13</v>
      </c>
      <c r="C52" s="36">
        <f>VLOOKUP(B52,CLASSES!$A$3:$B$8,2,FALSE)</f>
        <v>380</v>
      </c>
      <c r="D52" s="4">
        <v>46122</v>
      </c>
      <c r="E52" s="4">
        <v>46123</v>
      </c>
      <c r="F52" s="42">
        <f t="shared" si="4"/>
        <v>1</v>
      </c>
      <c r="G52" s="46">
        <f t="shared" si="5"/>
        <v>380</v>
      </c>
      <c r="H52" s="39">
        <f t="shared" si="3"/>
        <v>0</v>
      </c>
      <c r="I52" s="35">
        <v>20</v>
      </c>
      <c r="J52" s="49">
        <f t="shared" si="6"/>
        <v>400</v>
      </c>
      <c r="S52" s="1" t="s">
        <v>85</v>
      </c>
    </row>
    <row r="53" spans="1:19" ht="12.75" customHeight="1" x14ac:dyDescent="0.2">
      <c r="A53" s="31" t="s">
        <v>86</v>
      </c>
      <c r="B53" s="2" t="s">
        <v>16</v>
      </c>
      <c r="C53" s="36">
        <f>VLOOKUP(B53,CLASSES!$A$3:$B$8,2,FALSE)</f>
        <v>90</v>
      </c>
      <c r="D53" s="3">
        <v>46123</v>
      </c>
      <c r="E53" s="3">
        <v>46130</v>
      </c>
      <c r="F53" s="37">
        <f t="shared" si="4"/>
        <v>7</v>
      </c>
      <c r="G53" s="46">
        <f t="shared" si="5"/>
        <v>630</v>
      </c>
      <c r="H53" s="39">
        <f t="shared" si="3"/>
        <v>0</v>
      </c>
      <c r="I53" s="35">
        <v>0</v>
      </c>
      <c r="J53" s="49">
        <f t="shared" si="6"/>
        <v>630</v>
      </c>
      <c r="S53" s="1" t="s">
        <v>87</v>
      </c>
    </row>
    <row r="54" spans="1:19" ht="12.75" customHeight="1" x14ac:dyDescent="0.2">
      <c r="A54" s="31" t="s">
        <v>88</v>
      </c>
      <c r="B54" s="2" t="s">
        <v>19</v>
      </c>
      <c r="C54" s="36">
        <f>VLOOKUP(B54,CLASSES!$A$3:$B$8,2,FALSE)</f>
        <v>110</v>
      </c>
      <c r="D54" s="3">
        <v>46123</v>
      </c>
      <c r="E54" s="3">
        <v>46126</v>
      </c>
      <c r="F54" s="37">
        <f t="shared" si="4"/>
        <v>3</v>
      </c>
      <c r="G54" s="46">
        <f t="shared" si="5"/>
        <v>330</v>
      </c>
      <c r="H54" s="39">
        <f t="shared" si="3"/>
        <v>0</v>
      </c>
      <c r="I54" s="35">
        <v>30</v>
      </c>
      <c r="J54" s="49">
        <f t="shared" si="6"/>
        <v>360</v>
      </c>
      <c r="S54" s="1" t="s">
        <v>89</v>
      </c>
    </row>
    <row r="55" spans="1:19" ht="12.75" customHeight="1" x14ac:dyDescent="0.2">
      <c r="A55" s="31" t="s">
        <v>90</v>
      </c>
      <c r="B55" s="2" t="s">
        <v>22</v>
      </c>
      <c r="C55" s="36">
        <f>VLOOKUP(B55,CLASSES!$A$3:$B$8,2,FALSE)</f>
        <v>120</v>
      </c>
      <c r="D55" s="3">
        <v>46123</v>
      </c>
      <c r="E55" s="3">
        <v>46124</v>
      </c>
      <c r="F55" s="37">
        <f t="shared" si="4"/>
        <v>1</v>
      </c>
      <c r="G55" s="44">
        <f t="shared" si="5"/>
        <v>120</v>
      </c>
      <c r="H55" s="39">
        <f t="shared" si="3"/>
        <v>0</v>
      </c>
      <c r="I55" s="45">
        <v>30</v>
      </c>
      <c r="J55" s="49">
        <f t="shared" si="6"/>
        <v>150</v>
      </c>
      <c r="S55" s="1" t="s">
        <v>91</v>
      </c>
    </row>
    <row r="56" spans="1:19" ht="12.75" customHeight="1" x14ac:dyDescent="0.2">
      <c r="A56" s="31" t="s">
        <v>92</v>
      </c>
      <c r="B56" s="2" t="s">
        <v>28</v>
      </c>
      <c r="C56" s="36">
        <f>VLOOKUP(B56,CLASSES!$A$3:$B$8,2,FALSE)</f>
        <v>170</v>
      </c>
      <c r="D56" s="3">
        <v>46123</v>
      </c>
      <c r="E56" s="3">
        <v>46124</v>
      </c>
      <c r="F56" s="37">
        <f t="shared" si="4"/>
        <v>1</v>
      </c>
      <c r="G56" s="47">
        <f t="shared" si="5"/>
        <v>170</v>
      </c>
      <c r="H56" s="39">
        <f t="shared" si="3"/>
        <v>0</v>
      </c>
      <c r="I56" s="40">
        <v>0</v>
      </c>
      <c r="J56" s="49">
        <f t="shared" si="6"/>
        <v>170</v>
      </c>
      <c r="S56" s="1" t="s">
        <v>93</v>
      </c>
    </row>
    <row r="57" spans="1:19" ht="12.75" customHeight="1" x14ac:dyDescent="0.2">
      <c r="A57" s="31" t="s">
        <v>94</v>
      </c>
      <c r="B57" s="2" t="s">
        <v>22</v>
      </c>
      <c r="C57" s="36">
        <f>VLOOKUP(B57,CLASSES!$A$3:$B$8,2,FALSE)</f>
        <v>120</v>
      </c>
      <c r="D57" s="4">
        <v>46123</v>
      </c>
      <c r="E57" s="4">
        <v>46130</v>
      </c>
      <c r="F57" s="42">
        <f t="shared" si="4"/>
        <v>7</v>
      </c>
      <c r="G57" s="38">
        <f t="shared" si="5"/>
        <v>840</v>
      </c>
      <c r="H57" s="39">
        <f t="shared" si="3"/>
        <v>0</v>
      </c>
      <c r="I57" s="36">
        <v>5</v>
      </c>
      <c r="J57" s="49">
        <f t="shared" si="6"/>
        <v>845</v>
      </c>
      <c r="S57" s="1" t="s">
        <v>95</v>
      </c>
    </row>
    <row r="58" spans="1:19" ht="12.75" customHeight="1" x14ac:dyDescent="0.2">
      <c r="A58" s="31" t="s">
        <v>96</v>
      </c>
      <c r="B58" s="2" t="s">
        <v>28</v>
      </c>
      <c r="C58" s="36">
        <f>VLOOKUP(B58,CLASSES!$A$3:$B$8,2,FALSE)</f>
        <v>170</v>
      </c>
      <c r="D58" s="4">
        <v>46123</v>
      </c>
      <c r="E58" s="4">
        <v>46126</v>
      </c>
      <c r="F58" s="42">
        <f t="shared" si="4"/>
        <v>3</v>
      </c>
      <c r="G58" s="38">
        <f t="shared" si="5"/>
        <v>510</v>
      </c>
      <c r="H58" s="39">
        <f t="shared" si="3"/>
        <v>0</v>
      </c>
      <c r="I58" s="36">
        <v>0</v>
      </c>
      <c r="J58" s="49">
        <f t="shared" si="6"/>
        <v>510</v>
      </c>
      <c r="S58" s="6"/>
    </row>
    <row r="59" spans="1:19" ht="12.75" customHeight="1" x14ac:dyDescent="0.2">
      <c r="A59" s="31" t="s">
        <v>97</v>
      </c>
      <c r="B59" s="2" t="s">
        <v>16</v>
      </c>
      <c r="C59" s="36">
        <f>VLOOKUP(B59,CLASSES!$A$3:$B$8,2,FALSE)</f>
        <v>90</v>
      </c>
      <c r="D59" s="4">
        <v>46123</v>
      </c>
      <c r="E59" s="4">
        <v>46124</v>
      </c>
      <c r="F59" s="42">
        <f t="shared" si="4"/>
        <v>1</v>
      </c>
      <c r="G59" s="38">
        <f t="shared" si="5"/>
        <v>90</v>
      </c>
      <c r="H59" s="39">
        <f t="shared" si="3"/>
        <v>0</v>
      </c>
      <c r="I59" s="36">
        <v>35</v>
      </c>
      <c r="J59" s="49">
        <f t="shared" si="6"/>
        <v>125</v>
      </c>
      <c r="S59" s="6"/>
    </row>
    <row r="60" spans="1:19" ht="12.75" customHeight="1" x14ac:dyDescent="0.2">
      <c r="A60" s="31" t="s">
        <v>98</v>
      </c>
      <c r="B60" s="2" t="s">
        <v>25</v>
      </c>
      <c r="C60" s="36">
        <f>VLOOKUP(B60,CLASSES!$A$3:$B$8,2,FALSE)</f>
        <v>240</v>
      </c>
      <c r="D60" s="3">
        <v>46124</v>
      </c>
      <c r="E60" s="3">
        <v>46127</v>
      </c>
      <c r="F60" s="37">
        <f t="shared" si="4"/>
        <v>3</v>
      </c>
      <c r="G60" s="44">
        <f t="shared" si="5"/>
        <v>720</v>
      </c>
      <c r="H60" s="39">
        <f t="shared" si="3"/>
        <v>0</v>
      </c>
      <c r="I60" s="45">
        <v>30</v>
      </c>
      <c r="J60" s="49">
        <f t="shared" si="6"/>
        <v>750</v>
      </c>
      <c r="S60" s="6"/>
    </row>
    <row r="61" spans="1:19" ht="12.75" customHeight="1" x14ac:dyDescent="0.2">
      <c r="A61" s="31" t="s">
        <v>99</v>
      </c>
      <c r="B61" s="2" t="s">
        <v>13</v>
      </c>
      <c r="C61" s="36">
        <f>VLOOKUP(B61,CLASSES!$A$3:$B$8,2,FALSE)</f>
        <v>380</v>
      </c>
      <c r="D61" s="3">
        <v>46124</v>
      </c>
      <c r="E61" s="3">
        <v>46127</v>
      </c>
      <c r="F61" s="37">
        <f t="shared" si="4"/>
        <v>3</v>
      </c>
      <c r="G61" s="44">
        <f t="shared" si="5"/>
        <v>1140</v>
      </c>
      <c r="H61" s="39">
        <f t="shared" si="3"/>
        <v>0</v>
      </c>
      <c r="I61" s="45">
        <v>25</v>
      </c>
      <c r="J61" s="49">
        <f t="shared" si="6"/>
        <v>1165</v>
      </c>
      <c r="S61" s="6"/>
    </row>
    <row r="62" spans="1:19" ht="12.75" customHeight="1" x14ac:dyDescent="0.2">
      <c r="A62" s="31" t="s">
        <v>100</v>
      </c>
      <c r="B62" s="2" t="s">
        <v>16</v>
      </c>
      <c r="C62" s="36">
        <f>VLOOKUP(B62,CLASSES!$A$3:$B$8,2,FALSE)</f>
        <v>90</v>
      </c>
      <c r="D62" s="3">
        <v>46124</v>
      </c>
      <c r="E62" s="3">
        <v>46127</v>
      </c>
      <c r="F62" s="37">
        <f t="shared" si="4"/>
        <v>3</v>
      </c>
      <c r="G62" s="44">
        <f t="shared" si="5"/>
        <v>270</v>
      </c>
      <c r="H62" s="39">
        <f t="shared" si="3"/>
        <v>0</v>
      </c>
      <c r="I62" s="45">
        <v>35</v>
      </c>
      <c r="J62" s="49">
        <f t="shared" si="6"/>
        <v>305</v>
      </c>
      <c r="S62" s="6"/>
    </row>
    <row r="63" spans="1:19" ht="12.75" customHeight="1" x14ac:dyDescent="0.2">
      <c r="A63" s="31" t="s">
        <v>101</v>
      </c>
      <c r="B63" s="2" t="s">
        <v>19</v>
      </c>
      <c r="C63" s="36">
        <f>VLOOKUP(B63,CLASSES!$A$3:$B$8,2,FALSE)</f>
        <v>110</v>
      </c>
      <c r="D63" s="3">
        <v>46124</v>
      </c>
      <c r="E63" s="3">
        <v>46127</v>
      </c>
      <c r="F63" s="37">
        <f t="shared" si="4"/>
        <v>3</v>
      </c>
      <c r="G63" s="47">
        <f t="shared" si="5"/>
        <v>330</v>
      </c>
      <c r="H63" s="39">
        <f t="shared" si="3"/>
        <v>0</v>
      </c>
      <c r="I63" s="40">
        <v>0</v>
      </c>
      <c r="J63" s="49">
        <f t="shared" si="6"/>
        <v>330</v>
      </c>
      <c r="S63" s="6"/>
    </row>
    <row r="64" spans="1:19" ht="12.75" customHeight="1" x14ac:dyDescent="0.2">
      <c r="A64" s="31" t="s">
        <v>102</v>
      </c>
      <c r="B64" s="2" t="s">
        <v>22</v>
      </c>
      <c r="C64" s="36">
        <f>VLOOKUP(B64,CLASSES!$A$3:$B$8,2,FALSE)</f>
        <v>120</v>
      </c>
      <c r="D64" s="3">
        <v>46124</v>
      </c>
      <c r="E64" s="3">
        <v>46127</v>
      </c>
      <c r="F64" s="37">
        <f t="shared" si="4"/>
        <v>3</v>
      </c>
      <c r="G64" s="38">
        <f t="shared" si="5"/>
        <v>360</v>
      </c>
      <c r="H64" s="39">
        <f t="shared" si="3"/>
        <v>0</v>
      </c>
      <c r="I64" s="36">
        <v>5</v>
      </c>
      <c r="J64" s="49">
        <f t="shared" si="6"/>
        <v>365</v>
      </c>
      <c r="S64" s="6"/>
    </row>
    <row r="65" spans="1:19" ht="12.75" customHeight="1" x14ac:dyDescent="0.2">
      <c r="A65" s="31" t="s">
        <v>103</v>
      </c>
      <c r="B65" s="2" t="s">
        <v>28</v>
      </c>
      <c r="C65" s="36">
        <f>VLOOKUP(B65,CLASSES!$A$3:$B$8,2,FALSE)</f>
        <v>170</v>
      </c>
      <c r="D65" s="3">
        <v>46124</v>
      </c>
      <c r="E65" s="3">
        <v>46127</v>
      </c>
      <c r="F65" s="37">
        <f t="shared" si="4"/>
        <v>3</v>
      </c>
      <c r="G65" s="46">
        <f t="shared" si="5"/>
        <v>510</v>
      </c>
      <c r="H65" s="39">
        <f t="shared" si="3"/>
        <v>0</v>
      </c>
      <c r="I65" s="35">
        <v>0</v>
      </c>
      <c r="J65" s="49">
        <f t="shared" si="6"/>
        <v>510</v>
      </c>
      <c r="S65" s="6"/>
    </row>
    <row r="66" spans="1:19" ht="12.75" customHeight="1" x14ac:dyDescent="0.2">
      <c r="A66" s="31" t="s">
        <v>104</v>
      </c>
      <c r="B66" s="2" t="s">
        <v>16</v>
      </c>
      <c r="C66" s="36">
        <f>VLOOKUP(B66,CLASSES!$A$3:$B$8,2,FALSE)</f>
        <v>90</v>
      </c>
      <c r="D66" s="3">
        <v>46124</v>
      </c>
      <c r="E66" s="3">
        <v>46131</v>
      </c>
      <c r="F66" s="37">
        <f t="shared" si="4"/>
        <v>7</v>
      </c>
      <c r="G66" s="46">
        <f t="shared" si="5"/>
        <v>630</v>
      </c>
      <c r="H66" s="39">
        <f t="shared" si="3"/>
        <v>0</v>
      </c>
      <c r="I66" s="35">
        <v>30</v>
      </c>
      <c r="J66" s="49">
        <f t="shared" si="6"/>
        <v>660</v>
      </c>
      <c r="S66" s="6"/>
    </row>
    <row r="67" spans="1:19" ht="12.75" customHeight="1" x14ac:dyDescent="0.2">
      <c r="A67" s="31" t="s">
        <v>105</v>
      </c>
      <c r="B67" s="2" t="s">
        <v>19</v>
      </c>
      <c r="C67" s="36">
        <f>VLOOKUP(B67,CLASSES!$A$3:$B$8,2,FALSE)</f>
        <v>110</v>
      </c>
      <c r="D67" s="3">
        <v>46124</v>
      </c>
      <c r="E67" s="3">
        <v>46132</v>
      </c>
      <c r="F67" s="37">
        <f t="shared" si="4"/>
        <v>8</v>
      </c>
      <c r="G67" s="46">
        <f t="shared" si="5"/>
        <v>880</v>
      </c>
      <c r="H67" s="39">
        <f t="shared" si="3"/>
        <v>0</v>
      </c>
      <c r="I67" s="35">
        <v>0</v>
      </c>
      <c r="J67" s="49">
        <f t="shared" si="6"/>
        <v>880</v>
      </c>
      <c r="S67" s="6"/>
    </row>
    <row r="68" spans="1:19" ht="12.75" customHeight="1" x14ac:dyDescent="0.2">
      <c r="A68" s="31" t="s">
        <v>106</v>
      </c>
      <c r="B68" s="2" t="s">
        <v>25</v>
      </c>
      <c r="C68" s="36">
        <f>VLOOKUP(B68,CLASSES!$A$3:$B$8,2,FALSE)</f>
        <v>240</v>
      </c>
      <c r="D68" s="4">
        <v>46124</v>
      </c>
      <c r="E68" s="4">
        <v>46131</v>
      </c>
      <c r="F68" s="42">
        <f t="shared" ref="F68:F99" si="7">E68-D68</f>
        <v>7</v>
      </c>
      <c r="G68" s="46">
        <f t="shared" ref="G68:G99" si="8">C68*F68</f>
        <v>1680</v>
      </c>
      <c r="H68" s="39">
        <f t="shared" ref="H68:H131" si="9">IF(AND(B68="PRESIDENCIAL",F68&gt;4),G68*0.2,0)</f>
        <v>0</v>
      </c>
      <c r="I68" s="35">
        <v>30</v>
      </c>
      <c r="J68" s="49">
        <f t="shared" ref="J68:J99" si="10">G68-H68+I68</f>
        <v>1710</v>
      </c>
      <c r="S68" s="6"/>
    </row>
    <row r="69" spans="1:19" ht="12.75" customHeight="1" x14ac:dyDescent="0.2">
      <c r="A69" s="30" t="s">
        <v>107</v>
      </c>
      <c r="B69" s="2" t="s">
        <v>13</v>
      </c>
      <c r="C69" s="36">
        <f>VLOOKUP(B69,CLASSES!$A$3:$B$8,2,FALSE)</f>
        <v>380</v>
      </c>
      <c r="D69" s="4">
        <v>46124</v>
      </c>
      <c r="E69" s="4">
        <v>46132</v>
      </c>
      <c r="F69" s="42">
        <f t="shared" si="7"/>
        <v>8</v>
      </c>
      <c r="G69" s="46">
        <f t="shared" si="8"/>
        <v>3040</v>
      </c>
      <c r="H69" s="39">
        <f t="shared" si="9"/>
        <v>608</v>
      </c>
      <c r="I69" s="35">
        <v>25</v>
      </c>
      <c r="J69" s="49">
        <f t="shared" si="10"/>
        <v>2457</v>
      </c>
      <c r="S69" s="6"/>
    </row>
    <row r="70" spans="1:19" ht="12.75" customHeight="1" x14ac:dyDescent="0.2">
      <c r="A70" s="30" t="s">
        <v>108</v>
      </c>
      <c r="B70" s="2" t="s">
        <v>19</v>
      </c>
      <c r="C70" s="36">
        <f>VLOOKUP(B70,CLASSES!$A$3:$B$8,2,FALSE)</f>
        <v>110</v>
      </c>
      <c r="D70" s="4">
        <v>46124</v>
      </c>
      <c r="E70" s="4">
        <v>46125</v>
      </c>
      <c r="F70" s="42">
        <f t="shared" si="7"/>
        <v>1</v>
      </c>
      <c r="G70" s="46">
        <f t="shared" si="8"/>
        <v>110</v>
      </c>
      <c r="H70" s="39">
        <f t="shared" si="9"/>
        <v>0</v>
      </c>
      <c r="I70" s="35">
        <v>50</v>
      </c>
      <c r="J70" s="49">
        <f t="shared" si="10"/>
        <v>160</v>
      </c>
      <c r="S70" s="6"/>
    </row>
    <row r="71" spans="1:19" ht="12.75" customHeight="1" x14ac:dyDescent="0.2">
      <c r="A71" s="30" t="s">
        <v>109</v>
      </c>
      <c r="B71" s="2" t="s">
        <v>22</v>
      </c>
      <c r="C71" s="36">
        <f>VLOOKUP(B71,CLASSES!$A$3:$B$8,2,FALSE)</f>
        <v>120</v>
      </c>
      <c r="D71" s="3">
        <v>46125</v>
      </c>
      <c r="E71" s="3">
        <v>46127</v>
      </c>
      <c r="F71" s="37">
        <f t="shared" si="7"/>
        <v>2</v>
      </c>
      <c r="G71" s="46">
        <f t="shared" si="8"/>
        <v>240</v>
      </c>
      <c r="H71" s="39">
        <f t="shared" si="9"/>
        <v>0</v>
      </c>
      <c r="I71" s="35">
        <v>30</v>
      </c>
      <c r="J71" s="49">
        <f t="shared" si="10"/>
        <v>270</v>
      </c>
      <c r="S71" s="6"/>
    </row>
    <row r="72" spans="1:19" ht="12.75" customHeight="1" x14ac:dyDescent="0.2">
      <c r="A72" s="30" t="s">
        <v>110</v>
      </c>
      <c r="B72" s="2" t="s">
        <v>28</v>
      </c>
      <c r="C72" s="36">
        <f>VLOOKUP(B72,CLASSES!$A$3:$B$8,2,FALSE)</f>
        <v>170</v>
      </c>
      <c r="D72" s="3">
        <v>46125</v>
      </c>
      <c r="E72" s="3">
        <v>46130</v>
      </c>
      <c r="F72" s="37">
        <f t="shared" si="7"/>
        <v>5</v>
      </c>
      <c r="G72" s="46">
        <f t="shared" si="8"/>
        <v>850</v>
      </c>
      <c r="H72" s="39">
        <f t="shared" si="9"/>
        <v>0</v>
      </c>
      <c r="I72" s="35">
        <v>30</v>
      </c>
      <c r="J72" s="49">
        <f t="shared" si="10"/>
        <v>880</v>
      </c>
      <c r="S72" s="6"/>
    </row>
    <row r="73" spans="1:19" ht="12.75" customHeight="1" x14ac:dyDescent="0.2">
      <c r="A73" s="31" t="s">
        <v>111</v>
      </c>
      <c r="B73" s="2" t="s">
        <v>16</v>
      </c>
      <c r="C73" s="36">
        <f>VLOOKUP(B73,CLASSES!$A$3:$B$8,2,FALSE)</f>
        <v>90</v>
      </c>
      <c r="D73" s="4">
        <v>46125</v>
      </c>
      <c r="E73" s="4">
        <v>46127</v>
      </c>
      <c r="F73" s="42">
        <f t="shared" si="7"/>
        <v>2</v>
      </c>
      <c r="G73" s="44">
        <f t="shared" si="8"/>
        <v>180</v>
      </c>
      <c r="H73" s="39">
        <f t="shared" si="9"/>
        <v>0</v>
      </c>
      <c r="I73" s="45">
        <v>20</v>
      </c>
      <c r="J73" s="49">
        <f t="shared" si="10"/>
        <v>200</v>
      </c>
      <c r="S73" s="6"/>
    </row>
    <row r="74" spans="1:19" ht="12.75" customHeight="1" x14ac:dyDescent="0.2">
      <c r="A74" s="31" t="s">
        <v>112</v>
      </c>
      <c r="B74" s="2" t="s">
        <v>19</v>
      </c>
      <c r="C74" s="36">
        <f>VLOOKUP(B74,CLASSES!$A$3:$B$8,2,FALSE)</f>
        <v>110</v>
      </c>
      <c r="D74" s="4">
        <v>46125</v>
      </c>
      <c r="E74" s="4">
        <v>46130</v>
      </c>
      <c r="F74" s="42">
        <f t="shared" si="7"/>
        <v>5</v>
      </c>
      <c r="G74" s="44">
        <f t="shared" si="8"/>
        <v>550</v>
      </c>
      <c r="H74" s="39">
        <f t="shared" si="9"/>
        <v>0</v>
      </c>
      <c r="I74" s="45">
        <v>30</v>
      </c>
      <c r="J74" s="49">
        <f t="shared" si="10"/>
        <v>580</v>
      </c>
      <c r="S74" s="6"/>
    </row>
    <row r="75" spans="1:19" ht="12.75" customHeight="1" x14ac:dyDescent="0.2">
      <c r="A75" s="31" t="s">
        <v>113</v>
      </c>
      <c r="B75" s="2" t="s">
        <v>25</v>
      </c>
      <c r="C75" s="36">
        <f>VLOOKUP(B75,CLASSES!$A$3:$B$8,2,FALSE)</f>
        <v>240</v>
      </c>
      <c r="D75" s="3">
        <v>46126</v>
      </c>
      <c r="E75" s="3">
        <v>46131</v>
      </c>
      <c r="F75" s="37">
        <f t="shared" si="7"/>
        <v>5</v>
      </c>
      <c r="G75" s="46">
        <f t="shared" si="8"/>
        <v>1200</v>
      </c>
      <c r="H75" s="39">
        <f t="shared" si="9"/>
        <v>0</v>
      </c>
      <c r="I75" s="35">
        <v>25</v>
      </c>
      <c r="J75" s="49">
        <f t="shared" si="10"/>
        <v>1225</v>
      </c>
      <c r="S75" s="6"/>
    </row>
    <row r="76" spans="1:19" ht="12.75" customHeight="1" x14ac:dyDescent="0.2">
      <c r="A76" s="31" t="s">
        <v>114</v>
      </c>
      <c r="B76" s="2" t="s">
        <v>13</v>
      </c>
      <c r="C76" s="36">
        <f>VLOOKUP(B76,CLASSES!$A$3:$B$8,2,FALSE)</f>
        <v>380</v>
      </c>
      <c r="D76" s="3">
        <v>46126</v>
      </c>
      <c r="E76" s="3">
        <v>46129</v>
      </c>
      <c r="F76" s="37">
        <f t="shared" si="7"/>
        <v>3</v>
      </c>
      <c r="G76" s="44">
        <f t="shared" si="8"/>
        <v>1140</v>
      </c>
      <c r="H76" s="39">
        <f t="shared" si="9"/>
        <v>0</v>
      </c>
      <c r="I76" s="45">
        <v>20</v>
      </c>
      <c r="J76" s="49">
        <f t="shared" si="10"/>
        <v>1160</v>
      </c>
      <c r="S76" s="6"/>
    </row>
    <row r="77" spans="1:19" ht="12.75" customHeight="1" x14ac:dyDescent="0.2">
      <c r="A77" s="31" t="s">
        <v>115</v>
      </c>
      <c r="B77" s="2" t="s">
        <v>22</v>
      </c>
      <c r="C77" s="36">
        <f>VLOOKUP(B77,CLASSES!$A$3:$B$8,2,FALSE)</f>
        <v>120</v>
      </c>
      <c r="D77" s="4">
        <v>46126</v>
      </c>
      <c r="E77" s="4">
        <v>46131</v>
      </c>
      <c r="F77" s="42">
        <f t="shared" si="7"/>
        <v>5</v>
      </c>
      <c r="G77" s="44">
        <f t="shared" si="8"/>
        <v>600</v>
      </c>
      <c r="H77" s="39">
        <f t="shared" si="9"/>
        <v>0</v>
      </c>
      <c r="I77" s="45">
        <v>25</v>
      </c>
      <c r="J77" s="49">
        <f t="shared" si="10"/>
        <v>625</v>
      </c>
      <c r="S77" s="6"/>
    </row>
    <row r="78" spans="1:19" ht="12.75" customHeight="1" x14ac:dyDescent="0.2">
      <c r="A78" s="31" t="s">
        <v>116</v>
      </c>
      <c r="B78" s="2" t="s">
        <v>28</v>
      </c>
      <c r="C78" s="36">
        <f>VLOOKUP(B78,CLASSES!$A$3:$B$8,2,FALSE)</f>
        <v>170</v>
      </c>
      <c r="D78" s="4">
        <v>46126</v>
      </c>
      <c r="E78" s="4">
        <v>46129</v>
      </c>
      <c r="F78" s="42">
        <f t="shared" si="7"/>
        <v>3</v>
      </c>
      <c r="G78" s="47">
        <f t="shared" si="8"/>
        <v>510</v>
      </c>
      <c r="H78" s="39">
        <f t="shared" si="9"/>
        <v>0</v>
      </c>
      <c r="I78" s="40">
        <v>35</v>
      </c>
      <c r="J78" s="49">
        <f t="shared" si="10"/>
        <v>545</v>
      </c>
      <c r="S78" s="6"/>
    </row>
    <row r="79" spans="1:19" ht="12.75" customHeight="1" x14ac:dyDescent="0.2">
      <c r="A79" s="31" t="s">
        <v>117</v>
      </c>
      <c r="B79" s="2" t="s">
        <v>16</v>
      </c>
      <c r="C79" s="36">
        <f>VLOOKUP(B79,CLASSES!$A$3:$B$8,2,FALSE)</f>
        <v>90</v>
      </c>
      <c r="D79" s="3">
        <v>46127</v>
      </c>
      <c r="E79" s="3">
        <v>46132</v>
      </c>
      <c r="F79" s="37">
        <f t="shared" si="7"/>
        <v>5</v>
      </c>
      <c r="G79" s="47">
        <f t="shared" si="8"/>
        <v>450</v>
      </c>
      <c r="H79" s="39">
        <f t="shared" si="9"/>
        <v>0</v>
      </c>
      <c r="I79" s="40">
        <v>30</v>
      </c>
      <c r="J79" s="49">
        <f t="shared" si="10"/>
        <v>480</v>
      </c>
      <c r="S79" s="6"/>
    </row>
    <row r="80" spans="1:19" ht="12.75" customHeight="1" x14ac:dyDescent="0.2">
      <c r="A80" s="30" t="s">
        <v>118</v>
      </c>
      <c r="B80" s="2" t="s">
        <v>19</v>
      </c>
      <c r="C80" s="36">
        <f>VLOOKUP(B80,CLASSES!$A$3:$B$8,2,FALSE)</f>
        <v>110</v>
      </c>
      <c r="D80" s="3">
        <v>46127</v>
      </c>
      <c r="E80" s="3">
        <v>46132</v>
      </c>
      <c r="F80" s="37">
        <f t="shared" si="7"/>
        <v>5</v>
      </c>
      <c r="G80" s="44">
        <f t="shared" si="8"/>
        <v>550</v>
      </c>
      <c r="H80" s="39">
        <f t="shared" si="9"/>
        <v>0</v>
      </c>
      <c r="I80" s="45">
        <v>25</v>
      </c>
      <c r="J80" s="49">
        <f t="shared" si="10"/>
        <v>575</v>
      </c>
      <c r="S80" s="6"/>
    </row>
    <row r="81" spans="1:19" ht="12.75" customHeight="1" x14ac:dyDescent="0.2">
      <c r="A81" s="31" t="s">
        <v>119</v>
      </c>
      <c r="B81" s="2" t="s">
        <v>22</v>
      </c>
      <c r="C81" s="36">
        <f>VLOOKUP(B81,CLASSES!$A$3:$B$8,2,FALSE)</f>
        <v>120</v>
      </c>
      <c r="D81" s="3">
        <v>46127</v>
      </c>
      <c r="E81" s="3">
        <v>46132</v>
      </c>
      <c r="F81" s="37">
        <f t="shared" si="7"/>
        <v>5</v>
      </c>
      <c r="G81" s="44">
        <f t="shared" si="8"/>
        <v>600</v>
      </c>
      <c r="H81" s="39">
        <f t="shared" si="9"/>
        <v>0</v>
      </c>
      <c r="I81" s="45">
        <v>35</v>
      </c>
      <c r="J81" s="49">
        <f t="shared" si="10"/>
        <v>635</v>
      </c>
      <c r="S81" s="6"/>
    </row>
    <row r="82" spans="1:19" ht="12.75" customHeight="1" x14ac:dyDescent="0.2">
      <c r="A82" s="31" t="s">
        <v>120</v>
      </c>
      <c r="B82" s="2" t="s">
        <v>28</v>
      </c>
      <c r="C82" s="36">
        <f>VLOOKUP(B82,CLASSES!$A$3:$B$8,2,FALSE)</f>
        <v>170</v>
      </c>
      <c r="D82" s="3">
        <v>46127</v>
      </c>
      <c r="E82" s="3">
        <v>46132</v>
      </c>
      <c r="F82" s="37">
        <f t="shared" si="7"/>
        <v>5</v>
      </c>
      <c r="G82" s="46">
        <f t="shared" si="8"/>
        <v>850</v>
      </c>
      <c r="H82" s="39">
        <f t="shared" si="9"/>
        <v>0</v>
      </c>
      <c r="I82" s="35">
        <v>10</v>
      </c>
      <c r="J82" s="49">
        <f t="shared" si="10"/>
        <v>860</v>
      </c>
      <c r="S82" s="6"/>
    </row>
    <row r="83" spans="1:19" ht="12.75" customHeight="1" x14ac:dyDescent="0.2">
      <c r="A83" s="31" t="s">
        <v>121</v>
      </c>
      <c r="B83" s="2" t="s">
        <v>25</v>
      </c>
      <c r="C83" s="36">
        <f>VLOOKUP(B83,CLASSES!$A$3:$B$8,2,FALSE)</f>
        <v>240</v>
      </c>
      <c r="D83" s="3">
        <v>46127</v>
      </c>
      <c r="E83" s="3">
        <v>46132</v>
      </c>
      <c r="F83" s="37">
        <f t="shared" si="7"/>
        <v>5</v>
      </c>
      <c r="G83" s="44">
        <f t="shared" si="8"/>
        <v>1200</v>
      </c>
      <c r="H83" s="39">
        <f t="shared" si="9"/>
        <v>0</v>
      </c>
      <c r="I83" s="45">
        <v>10</v>
      </c>
      <c r="J83" s="49">
        <f t="shared" si="10"/>
        <v>1210</v>
      </c>
      <c r="S83" s="6"/>
    </row>
    <row r="84" spans="1:19" ht="12.75" customHeight="1" x14ac:dyDescent="0.2">
      <c r="A84" s="31" t="s">
        <v>122</v>
      </c>
      <c r="B84" s="2" t="s">
        <v>13</v>
      </c>
      <c r="C84" s="36">
        <f>VLOOKUP(B84,CLASSES!$A$3:$B$8,2,FALSE)</f>
        <v>380</v>
      </c>
      <c r="D84" s="3">
        <v>46127</v>
      </c>
      <c r="E84" s="3">
        <v>46130</v>
      </c>
      <c r="F84" s="37">
        <f t="shared" si="7"/>
        <v>3</v>
      </c>
      <c r="G84" s="44">
        <f t="shared" si="8"/>
        <v>1140</v>
      </c>
      <c r="H84" s="39">
        <f t="shared" si="9"/>
        <v>0</v>
      </c>
      <c r="I84" s="45">
        <v>30</v>
      </c>
      <c r="J84" s="49">
        <f t="shared" si="10"/>
        <v>1170</v>
      </c>
      <c r="S84" s="6"/>
    </row>
    <row r="85" spans="1:19" ht="12.75" customHeight="1" x14ac:dyDescent="0.2">
      <c r="A85" s="31" t="s">
        <v>123</v>
      </c>
      <c r="B85" s="2" t="s">
        <v>25</v>
      </c>
      <c r="C85" s="36">
        <f>VLOOKUP(B85,CLASSES!$A$3:$B$8,2,FALSE)</f>
        <v>240</v>
      </c>
      <c r="D85" s="4">
        <v>46127</v>
      </c>
      <c r="E85" s="4">
        <v>46132</v>
      </c>
      <c r="F85" s="42">
        <f t="shared" si="7"/>
        <v>5</v>
      </c>
      <c r="G85" s="46">
        <f t="shared" si="8"/>
        <v>1200</v>
      </c>
      <c r="H85" s="39">
        <f t="shared" si="9"/>
        <v>0</v>
      </c>
      <c r="I85" s="35">
        <v>10</v>
      </c>
      <c r="J85" s="49">
        <f t="shared" si="10"/>
        <v>1210</v>
      </c>
      <c r="S85" s="6"/>
    </row>
    <row r="86" spans="1:19" ht="12.75" customHeight="1" x14ac:dyDescent="0.2">
      <c r="A86" s="31" t="s">
        <v>124</v>
      </c>
      <c r="B86" s="2" t="s">
        <v>13</v>
      </c>
      <c r="C86" s="36">
        <f>VLOOKUP(B86,CLASSES!$A$3:$B$8,2,FALSE)</f>
        <v>380</v>
      </c>
      <c r="D86" s="4">
        <v>46127</v>
      </c>
      <c r="E86" s="4">
        <v>46130</v>
      </c>
      <c r="F86" s="42">
        <f t="shared" si="7"/>
        <v>3</v>
      </c>
      <c r="G86" s="44">
        <f t="shared" si="8"/>
        <v>1140</v>
      </c>
      <c r="H86" s="39">
        <f t="shared" si="9"/>
        <v>0</v>
      </c>
      <c r="I86" s="45">
        <v>10</v>
      </c>
      <c r="J86" s="49">
        <f t="shared" si="10"/>
        <v>1150</v>
      </c>
      <c r="S86" s="6"/>
    </row>
    <row r="87" spans="1:19" ht="12.75" customHeight="1" x14ac:dyDescent="0.2">
      <c r="A87" s="31" t="s">
        <v>125</v>
      </c>
      <c r="B87" s="2" t="s">
        <v>16</v>
      </c>
      <c r="C87" s="36">
        <f>VLOOKUP(B87,CLASSES!$A$3:$B$8,2,FALSE)</f>
        <v>90</v>
      </c>
      <c r="D87" s="3">
        <v>46128</v>
      </c>
      <c r="E87" s="3">
        <v>46130</v>
      </c>
      <c r="F87" s="37">
        <f t="shared" si="7"/>
        <v>2</v>
      </c>
      <c r="G87" s="44">
        <f t="shared" si="8"/>
        <v>180</v>
      </c>
      <c r="H87" s="39">
        <f t="shared" si="9"/>
        <v>0</v>
      </c>
      <c r="I87" s="45">
        <v>25</v>
      </c>
      <c r="J87" s="49">
        <f t="shared" si="10"/>
        <v>205</v>
      </c>
      <c r="S87" s="6"/>
    </row>
    <row r="88" spans="1:19" ht="12.75" customHeight="1" x14ac:dyDescent="0.2">
      <c r="A88" s="31" t="s">
        <v>126</v>
      </c>
      <c r="B88" s="2" t="s">
        <v>19</v>
      </c>
      <c r="C88" s="36">
        <f>VLOOKUP(B88,CLASSES!$A$3:$B$8,2,FALSE)</f>
        <v>110</v>
      </c>
      <c r="D88" s="3">
        <v>46128</v>
      </c>
      <c r="E88" s="3">
        <v>46131</v>
      </c>
      <c r="F88" s="37">
        <f t="shared" si="7"/>
        <v>3</v>
      </c>
      <c r="G88" s="44">
        <f t="shared" si="8"/>
        <v>330</v>
      </c>
      <c r="H88" s="39">
        <f t="shared" si="9"/>
        <v>0</v>
      </c>
      <c r="I88" s="45">
        <v>35</v>
      </c>
      <c r="J88" s="49">
        <f t="shared" si="10"/>
        <v>365</v>
      </c>
      <c r="S88" s="6"/>
    </row>
    <row r="89" spans="1:19" ht="12.75" customHeight="1" x14ac:dyDescent="0.2">
      <c r="A89" s="31" t="s">
        <v>127</v>
      </c>
      <c r="B89" s="2" t="s">
        <v>16</v>
      </c>
      <c r="C89" s="36">
        <f>VLOOKUP(B89,CLASSES!$A$3:$B$8,2,FALSE)</f>
        <v>90</v>
      </c>
      <c r="D89" s="4">
        <v>46128</v>
      </c>
      <c r="E89" s="4">
        <v>46130</v>
      </c>
      <c r="F89" s="42">
        <f t="shared" si="7"/>
        <v>2</v>
      </c>
      <c r="G89" s="46">
        <f t="shared" si="8"/>
        <v>180</v>
      </c>
      <c r="H89" s="39">
        <f t="shared" si="9"/>
        <v>0</v>
      </c>
      <c r="I89" s="35">
        <v>0</v>
      </c>
      <c r="J89" s="49">
        <f t="shared" si="10"/>
        <v>180</v>
      </c>
      <c r="S89" s="6"/>
    </row>
    <row r="90" spans="1:19" ht="12.75" customHeight="1" x14ac:dyDescent="0.2">
      <c r="A90" s="31" t="s">
        <v>128</v>
      </c>
      <c r="B90" s="2" t="s">
        <v>19</v>
      </c>
      <c r="C90" s="36">
        <f>VLOOKUP(B90,CLASSES!$A$3:$B$8,2,FALSE)</f>
        <v>110</v>
      </c>
      <c r="D90" s="4">
        <v>46128</v>
      </c>
      <c r="E90" s="4">
        <v>46131</v>
      </c>
      <c r="F90" s="42">
        <f t="shared" si="7"/>
        <v>3</v>
      </c>
      <c r="G90" s="44">
        <f t="shared" si="8"/>
        <v>330</v>
      </c>
      <c r="H90" s="39">
        <f t="shared" si="9"/>
        <v>0</v>
      </c>
      <c r="I90" s="45">
        <v>25</v>
      </c>
      <c r="J90" s="49">
        <f t="shared" si="10"/>
        <v>355</v>
      </c>
      <c r="S90" s="6"/>
    </row>
    <row r="91" spans="1:19" ht="12.75" customHeight="1" x14ac:dyDescent="0.2">
      <c r="A91" s="31" t="s">
        <v>85</v>
      </c>
      <c r="B91" s="2" t="s">
        <v>22</v>
      </c>
      <c r="C91" s="36">
        <f>VLOOKUP(B91,CLASSES!$A$3:$B$8,2,FALSE)</f>
        <v>120</v>
      </c>
      <c r="D91" s="3">
        <v>46129</v>
      </c>
      <c r="E91" s="3">
        <v>46132</v>
      </c>
      <c r="F91" s="37">
        <f t="shared" si="7"/>
        <v>3</v>
      </c>
      <c r="G91" s="46">
        <f t="shared" si="8"/>
        <v>360</v>
      </c>
      <c r="H91" s="39">
        <f t="shared" si="9"/>
        <v>0</v>
      </c>
      <c r="I91" s="35">
        <v>0</v>
      </c>
      <c r="J91" s="49">
        <f t="shared" si="10"/>
        <v>360</v>
      </c>
      <c r="S91" s="6"/>
    </row>
    <row r="92" spans="1:19" ht="12.75" customHeight="1" x14ac:dyDescent="0.2">
      <c r="A92" s="31" t="s">
        <v>87</v>
      </c>
      <c r="B92" s="2" t="s">
        <v>28</v>
      </c>
      <c r="C92" s="36">
        <f>VLOOKUP(B92,CLASSES!$A$3:$B$8,2,FALSE)</f>
        <v>170</v>
      </c>
      <c r="D92" s="3">
        <v>46129</v>
      </c>
      <c r="E92" s="3">
        <v>46132</v>
      </c>
      <c r="F92" s="37">
        <f t="shared" si="7"/>
        <v>3</v>
      </c>
      <c r="G92" s="44">
        <f t="shared" si="8"/>
        <v>510</v>
      </c>
      <c r="H92" s="39">
        <f t="shared" si="9"/>
        <v>0</v>
      </c>
      <c r="I92" s="45">
        <v>5</v>
      </c>
      <c r="J92" s="49">
        <f t="shared" si="10"/>
        <v>515</v>
      </c>
    </row>
    <row r="93" spans="1:19" ht="12.75" customHeight="1" x14ac:dyDescent="0.2">
      <c r="A93" s="31" t="s">
        <v>89</v>
      </c>
      <c r="B93" s="2" t="s">
        <v>25</v>
      </c>
      <c r="C93" s="36">
        <f>VLOOKUP(B93,CLASSES!$A$3:$B$8,2,FALSE)</f>
        <v>240</v>
      </c>
      <c r="D93" s="3">
        <v>46129</v>
      </c>
      <c r="E93" s="3">
        <v>46132</v>
      </c>
      <c r="F93" s="37">
        <f t="shared" si="7"/>
        <v>3</v>
      </c>
      <c r="G93" s="44">
        <f t="shared" si="8"/>
        <v>720</v>
      </c>
      <c r="H93" s="39">
        <f t="shared" si="9"/>
        <v>0</v>
      </c>
      <c r="I93" s="45">
        <v>0</v>
      </c>
      <c r="J93" s="49">
        <f t="shared" si="10"/>
        <v>720</v>
      </c>
    </row>
    <row r="94" spans="1:19" ht="12.75" customHeight="1" x14ac:dyDescent="0.2">
      <c r="A94" s="31" t="s">
        <v>91</v>
      </c>
      <c r="B94" s="2" t="s">
        <v>13</v>
      </c>
      <c r="C94" s="36">
        <f>VLOOKUP(B94,CLASSES!$A$3:$B$8,2,FALSE)</f>
        <v>380</v>
      </c>
      <c r="D94" s="3">
        <v>46129</v>
      </c>
      <c r="E94" s="3">
        <v>46132</v>
      </c>
      <c r="F94" s="37">
        <f t="shared" si="7"/>
        <v>3</v>
      </c>
      <c r="G94" s="46">
        <f t="shared" si="8"/>
        <v>1140</v>
      </c>
      <c r="H94" s="39">
        <f t="shared" si="9"/>
        <v>0</v>
      </c>
      <c r="I94" s="35">
        <v>5</v>
      </c>
      <c r="J94" s="49">
        <f t="shared" si="10"/>
        <v>1145</v>
      </c>
    </row>
    <row r="95" spans="1:19" ht="12.75" customHeight="1" x14ac:dyDescent="0.2">
      <c r="A95" s="31" t="s">
        <v>129</v>
      </c>
      <c r="B95" s="2" t="s">
        <v>16</v>
      </c>
      <c r="C95" s="36">
        <f>VLOOKUP(B95,CLASSES!$A$3:$B$8,2,FALSE)</f>
        <v>90</v>
      </c>
      <c r="D95" s="3">
        <v>46129</v>
      </c>
      <c r="E95" s="3">
        <v>46132</v>
      </c>
      <c r="F95" s="37">
        <f t="shared" si="7"/>
        <v>3</v>
      </c>
      <c r="G95" s="46">
        <f t="shared" si="8"/>
        <v>270</v>
      </c>
      <c r="H95" s="39">
        <f t="shared" si="9"/>
        <v>0</v>
      </c>
      <c r="I95" s="35">
        <v>0</v>
      </c>
      <c r="J95" s="49">
        <f t="shared" si="10"/>
        <v>270</v>
      </c>
    </row>
    <row r="96" spans="1:19" ht="12.75" customHeight="1" x14ac:dyDescent="0.2">
      <c r="A96" s="31" t="s">
        <v>130</v>
      </c>
      <c r="B96" s="2" t="s">
        <v>19</v>
      </c>
      <c r="C96" s="36">
        <f>VLOOKUP(B96,CLASSES!$A$3:$B$8,2,FALSE)</f>
        <v>110</v>
      </c>
      <c r="D96" s="3">
        <v>46129</v>
      </c>
      <c r="E96" s="3">
        <v>46132</v>
      </c>
      <c r="F96" s="37">
        <f t="shared" si="7"/>
        <v>3</v>
      </c>
      <c r="G96" s="46">
        <f t="shared" si="8"/>
        <v>330</v>
      </c>
      <c r="H96" s="39">
        <f t="shared" si="9"/>
        <v>0</v>
      </c>
      <c r="I96" s="35">
        <v>30</v>
      </c>
      <c r="J96" s="49">
        <f t="shared" si="10"/>
        <v>360</v>
      </c>
    </row>
    <row r="97" spans="1:10" ht="12.75" customHeight="1" x14ac:dyDescent="0.2">
      <c r="A97" s="31" t="s">
        <v>131</v>
      </c>
      <c r="B97" s="2" t="s">
        <v>22</v>
      </c>
      <c r="C97" s="36">
        <f>VLOOKUP(B97,CLASSES!$A$3:$B$8,2,FALSE)</f>
        <v>120</v>
      </c>
      <c r="D97" s="7">
        <v>46129</v>
      </c>
      <c r="E97" s="7">
        <v>46132</v>
      </c>
      <c r="F97" s="42">
        <f t="shared" si="7"/>
        <v>3</v>
      </c>
      <c r="G97" s="47">
        <f t="shared" si="8"/>
        <v>360</v>
      </c>
      <c r="H97" s="39">
        <f t="shared" si="9"/>
        <v>0</v>
      </c>
      <c r="I97" s="40">
        <v>35</v>
      </c>
      <c r="J97" s="49">
        <f t="shared" si="10"/>
        <v>395</v>
      </c>
    </row>
    <row r="98" spans="1:10" ht="12.75" customHeight="1" x14ac:dyDescent="0.2">
      <c r="A98" s="31" t="s">
        <v>132</v>
      </c>
      <c r="B98" s="2" t="s">
        <v>28</v>
      </c>
      <c r="C98" s="36">
        <f>VLOOKUP(B98,CLASSES!$A$3:$B$8,2,FALSE)</f>
        <v>170</v>
      </c>
      <c r="D98" s="7">
        <v>46129</v>
      </c>
      <c r="E98" s="7">
        <v>46132</v>
      </c>
      <c r="F98" s="50">
        <f t="shared" si="7"/>
        <v>3</v>
      </c>
      <c r="G98" s="38">
        <f t="shared" si="8"/>
        <v>510</v>
      </c>
      <c r="H98" s="39">
        <f t="shared" si="9"/>
        <v>0</v>
      </c>
      <c r="I98" s="36">
        <v>10</v>
      </c>
      <c r="J98" s="49">
        <f t="shared" si="10"/>
        <v>520</v>
      </c>
    </row>
    <row r="99" spans="1:10" ht="12.75" customHeight="1" x14ac:dyDescent="0.2">
      <c r="A99" s="31" t="s">
        <v>133</v>
      </c>
      <c r="B99" s="2" t="s">
        <v>22</v>
      </c>
      <c r="C99" s="36">
        <f>VLOOKUP(B99,CLASSES!$A$3:$B$8,2,FALSE)</f>
        <v>120</v>
      </c>
      <c r="D99" s="5">
        <v>46130</v>
      </c>
      <c r="E99" s="5">
        <v>46132</v>
      </c>
      <c r="F99" s="48">
        <f t="shared" si="7"/>
        <v>2</v>
      </c>
      <c r="G99" s="47">
        <f t="shared" si="8"/>
        <v>240</v>
      </c>
      <c r="H99" s="39">
        <f t="shared" si="9"/>
        <v>0</v>
      </c>
      <c r="I99" s="40">
        <v>30</v>
      </c>
      <c r="J99" s="49">
        <f t="shared" si="10"/>
        <v>270</v>
      </c>
    </row>
    <row r="100" spans="1:10" ht="12.75" customHeight="1" x14ac:dyDescent="0.2">
      <c r="A100" s="31" t="s">
        <v>134</v>
      </c>
      <c r="B100" s="2" t="s">
        <v>28</v>
      </c>
      <c r="C100" s="36">
        <f>VLOOKUP(B100,CLASSES!$A$3:$B$8,2,FALSE)</f>
        <v>170</v>
      </c>
      <c r="D100" s="5">
        <v>46130</v>
      </c>
      <c r="E100" s="5">
        <v>46132</v>
      </c>
      <c r="F100" s="48">
        <f t="shared" ref="F100:F131" si="11">E100-D100</f>
        <v>2</v>
      </c>
      <c r="G100" s="47">
        <f t="shared" ref="G100:G131" si="12">C100*F100</f>
        <v>340</v>
      </c>
      <c r="H100" s="39">
        <f t="shared" si="9"/>
        <v>0</v>
      </c>
      <c r="I100" s="40">
        <v>0</v>
      </c>
      <c r="J100" s="49">
        <f t="shared" ref="J100:J131" si="13">G100-H100+I100</f>
        <v>340</v>
      </c>
    </row>
    <row r="101" spans="1:10" ht="12.75" customHeight="1" x14ac:dyDescent="0.2">
      <c r="A101" s="31" t="s">
        <v>135</v>
      </c>
      <c r="B101" s="2" t="s">
        <v>25</v>
      </c>
      <c r="C101" s="36">
        <f>VLOOKUP(B101,CLASSES!$A$3:$B$8,2,FALSE)</f>
        <v>240</v>
      </c>
      <c r="D101" s="7">
        <v>46130</v>
      </c>
      <c r="E101" s="7">
        <v>46132</v>
      </c>
      <c r="F101" s="50">
        <f t="shared" si="11"/>
        <v>2</v>
      </c>
      <c r="G101" s="51">
        <f t="shared" si="12"/>
        <v>480</v>
      </c>
      <c r="H101" s="39">
        <f t="shared" si="9"/>
        <v>0</v>
      </c>
      <c r="I101" s="40">
        <v>10</v>
      </c>
      <c r="J101" s="49">
        <f t="shared" si="13"/>
        <v>490</v>
      </c>
    </row>
    <row r="102" spans="1:10" ht="12.75" customHeight="1" x14ac:dyDescent="0.2">
      <c r="A102" s="31" t="s">
        <v>136</v>
      </c>
      <c r="B102" s="2" t="s">
        <v>13</v>
      </c>
      <c r="C102" s="36">
        <f>VLOOKUP(B102,CLASSES!$A$3:$B$8,2,FALSE)</f>
        <v>380</v>
      </c>
      <c r="D102" s="7">
        <v>46130</v>
      </c>
      <c r="E102" s="7">
        <v>46132</v>
      </c>
      <c r="F102" s="50">
        <f t="shared" si="11"/>
        <v>2</v>
      </c>
      <c r="G102" s="51">
        <f t="shared" si="12"/>
        <v>760</v>
      </c>
      <c r="H102" s="39">
        <f t="shared" si="9"/>
        <v>0</v>
      </c>
      <c r="I102" s="40">
        <v>25</v>
      </c>
      <c r="J102" s="49">
        <f t="shared" si="13"/>
        <v>785</v>
      </c>
    </row>
    <row r="103" spans="1:10" ht="12.75" customHeight="1" x14ac:dyDescent="0.2">
      <c r="A103" s="31" t="s">
        <v>137</v>
      </c>
      <c r="B103" s="2" t="s">
        <v>25</v>
      </c>
      <c r="C103" s="36">
        <f>VLOOKUP(B103,CLASSES!$A$3:$B$8,2,FALSE)</f>
        <v>240</v>
      </c>
      <c r="D103" s="5">
        <v>46131</v>
      </c>
      <c r="E103" s="5">
        <v>46132</v>
      </c>
      <c r="F103" s="48">
        <f t="shared" si="11"/>
        <v>1</v>
      </c>
      <c r="G103" s="47">
        <f t="shared" si="12"/>
        <v>240</v>
      </c>
      <c r="H103" s="39">
        <f t="shared" si="9"/>
        <v>0</v>
      </c>
      <c r="I103" s="40">
        <v>120</v>
      </c>
      <c r="J103" s="49">
        <f t="shared" si="13"/>
        <v>360</v>
      </c>
    </row>
    <row r="104" spans="1:10" ht="12.75" customHeight="1" x14ac:dyDescent="0.2">
      <c r="A104" s="31" t="s">
        <v>138</v>
      </c>
      <c r="B104" s="2" t="s">
        <v>13</v>
      </c>
      <c r="C104" s="36">
        <f>VLOOKUP(B104,CLASSES!$A$3:$B$8,2,FALSE)</f>
        <v>380</v>
      </c>
      <c r="D104" s="5">
        <v>46131</v>
      </c>
      <c r="E104" s="5">
        <v>46132</v>
      </c>
      <c r="F104" s="48">
        <f t="shared" si="11"/>
        <v>1</v>
      </c>
      <c r="G104" s="47">
        <f t="shared" si="12"/>
        <v>380</v>
      </c>
      <c r="H104" s="39">
        <f t="shared" si="9"/>
        <v>0</v>
      </c>
      <c r="I104" s="40">
        <v>20</v>
      </c>
      <c r="J104" s="49">
        <f t="shared" si="13"/>
        <v>400</v>
      </c>
    </row>
    <row r="105" spans="1:10" ht="12.75" customHeight="1" x14ac:dyDescent="0.2">
      <c r="A105" s="31" t="s">
        <v>139</v>
      </c>
      <c r="B105" s="2" t="s">
        <v>16</v>
      </c>
      <c r="C105" s="36">
        <f>VLOOKUP(B105,CLASSES!$A$3:$B$8,2,FALSE)</f>
        <v>90</v>
      </c>
      <c r="D105" s="5">
        <v>46131</v>
      </c>
      <c r="E105" s="5">
        <v>46132</v>
      </c>
      <c r="F105" s="48">
        <f t="shared" si="11"/>
        <v>1</v>
      </c>
      <c r="G105" s="47">
        <f t="shared" si="12"/>
        <v>90</v>
      </c>
      <c r="H105" s="39">
        <f t="shared" si="9"/>
        <v>0</v>
      </c>
      <c r="I105" s="40">
        <v>30</v>
      </c>
      <c r="J105" s="49">
        <f t="shared" si="13"/>
        <v>120</v>
      </c>
    </row>
    <row r="106" spans="1:10" ht="12.75" customHeight="1" x14ac:dyDescent="0.2">
      <c r="A106" s="31" t="s">
        <v>140</v>
      </c>
      <c r="B106" s="2" t="s">
        <v>16</v>
      </c>
      <c r="C106" s="36">
        <f>VLOOKUP(B106,CLASSES!$A$3:$B$8,2,FALSE)</f>
        <v>90</v>
      </c>
      <c r="D106" s="7">
        <v>46131</v>
      </c>
      <c r="E106" s="7">
        <v>46132</v>
      </c>
      <c r="F106" s="50">
        <f t="shared" si="11"/>
        <v>1</v>
      </c>
      <c r="G106" s="51">
        <f t="shared" si="12"/>
        <v>90</v>
      </c>
      <c r="H106" s="39">
        <f t="shared" si="9"/>
        <v>0</v>
      </c>
      <c r="I106" s="40">
        <v>35</v>
      </c>
      <c r="J106" s="49">
        <f t="shared" si="13"/>
        <v>125</v>
      </c>
    </row>
    <row r="107" spans="1:10" ht="12.75" customHeight="1" x14ac:dyDescent="0.2">
      <c r="A107" s="31" t="s">
        <v>141</v>
      </c>
      <c r="B107" s="2" t="s">
        <v>19</v>
      </c>
      <c r="C107" s="36">
        <f>VLOOKUP(B107,CLASSES!$A$3:$B$8,2,FALSE)</f>
        <v>110</v>
      </c>
      <c r="D107" s="7">
        <v>46131</v>
      </c>
      <c r="E107" s="7">
        <v>46132</v>
      </c>
      <c r="F107" s="50">
        <f t="shared" si="11"/>
        <v>1</v>
      </c>
      <c r="G107" s="38">
        <f t="shared" si="12"/>
        <v>110</v>
      </c>
      <c r="H107" s="39">
        <f t="shared" si="9"/>
        <v>0</v>
      </c>
      <c r="I107" s="36">
        <v>10</v>
      </c>
      <c r="J107" s="49">
        <f t="shared" si="13"/>
        <v>120</v>
      </c>
    </row>
    <row r="108" spans="1:10" ht="12.75" customHeight="1" x14ac:dyDescent="0.2">
      <c r="A108" s="31" t="s">
        <v>142</v>
      </c>
      <c r="B108" s="2" t="s">
        <v>19</v>
      </c>
      <c r="C108" s="36">
        <f>VLOOKUP(B108,CLASSES!$A$3:$B$8,2,FALSE)</f>
        <v>110</v>
      </c>
      <c r="D108" s="5">
        <v>46132</v>
      </c>
      <c r="E108" s="5">
        <v>46136</v>
      </c>
      <c r="F108" s="48">
        <f t="shared" si="11"/>
        <v>4</v>
      </c>
      <c r="G108" s="47">
        <f t="shared" si="12"/>
        <v>440</v>
      </c>
      <c r="H108" s="39">
        <f t="shared" si="9"/>
        <v>0</v>
      </c>
      <c r="I108" s="40">
        <v>25</v>
      </c>
      <c r="J108" s="49">
        <f t="shared" si="13"/>
        <v>465</v>
      </c>
    </row>
    <row r="109" spans="1:10" ht="12.75" customHeight="1" x14ac:dyDescent="0.2">
      <c r="A109" s="31" t="s">
        <v>143</v>
      </c>
      <c r="B109" s="2" t="s">
        <v>22</v>
      </c>
      <c r="C109" s="36">
        <f>VLOOKUP(B109,CLASSES!$A$3:$B$8,2,FALSE)</f>
        <v>120</v>
      </c>
      <c r="D109" s="5">
        <v>46132</v>
      </c>
      <c r="E109" s="5">
        <v>46136</v>
      </c>
      <c r="F109" s="48">
        <f t="shared" si="11"/>
        <v>4</v>
      </c>
      <c r="G109" s="47">
        <f t="shared" si="12"/>
        <v>480</v>
      </c>
      <c r="H109" s="39">
        <f t="shared" si="9"/>
        <v>0</v>
      </c>
      <c r="I109" s="40">
        <v>35</v>
      </c>
      <c r="J109" s="49">
        <f t="shared" si="13"/>
        <v>515</v>
      </c>
    </row>
    <row r="110" spans="1:10" ht="12.75" customHeight="1" x14ac:dyDescent="0.2">
      <c r="A110" s="31" t="s">
        <v>144</v>
      </c>
      <c r="B110" s="2" t="s">
        <v>28</v>
      </c>
      <c r="C110" s="36">
        <f>VLOOKUP(B110,CLASSES!$A$3:$B$8,2,FALSE)</f>
        <v>170</v>
      </c>
      <c r="D110" s="5">
        <v>46132</v>
      </c>
      <c r="E110" s="5">
        <v>46136</v>
      </c>
      <c r="F110" s="48">
        <f t="shared" si="11"/>
        <v>4</v>
      </c>
      <c r="G110" s="38">
        <f t="shared" si="12"/>
        <v>680</v>
      </c>
      <c r="H110" s="39">
        <f t="shared" si="9"/>
        <v>0</v>
      </c>
      <c r="I110" s="35">
        <v>10</v>
      </c>
      <c r="J110" s="49">
        <f t="shared" si="13"/>
        <v>690</v>
      </c>
    </row>
    <row r="111" spans="1:10" ht="12.75" customHeight="1" x14ac:dyDescent="0.2">
      <c r="A111" s="31" t="s">
        <v>91</v>
      </c>
      <c r="B111" s="2" t="s">
        <v>25</v>
      </c>
      <c r="C111" s="36">
        <f>VLOOKUP(B111,CLASSES!$A$3:$B$8,2,FALSE)</f>
        <v>240</v>
      </c>
      <c r="D111" s="5">
        <v>46132</v>
      </c>
      <c r="E111" s="5">
        <v>46136</v>
      </c>
      <c r="F111" s="48">
        <f t="shared" si="11"/>
        <v>4</v>
      </c>
      <c r="G111" s="47">
        <f t="shared" si="12"/>
        <v>960</v>
      </c>
      <c r="H111" s="39">
        <f t="shared" si="9"/>
        <v>0</v>
      </c>
      <c r="I111" s="45">
        <v>10</v>
      </c>
      <c r="J111" s="49">
        <f t="shared" si="13"/>
        <v>970</v>
      </c>
    </row>
    <row r="112" spans="1:10" ht="12.75" customHeight="1" x14ac:dyDescent="0.2">
      <c r="A112" s="31" t="s">
        <v>145</v>
      </c>
      <c r="B112" s="2" t="s">
        <v>22</v>
      </c>
      <c r="C112" s="36">
        <f>VLOOKUP(B112,CLASSES!$A$3:$B$8,2,FALSE)</f>
        <v>120</v>
      </c>
      <c r="D112" s="5">
        <v>46133</v>
      </c>
      <c r="E112" s="5">
        <v>46137</v>
      </c>
      <c r="F112" s="48">
        <f t="shared" si="11"/>
        <v>4</v>
      </c>
      <c r="G112" s="38">
        <f t="shared" si="12"/>
        <v>480</v>
      </c>
      <c r="H112" s="39">
        <f t="shared" si="9"/>
        <v>0</v>
      </c>
      <c r="I112" s="35">
        <v>0</v>
      </c>
      <c r="J112" s="49">
        <f t="shared" si="13"/>
        <v>480</v>
      </c>
    </row>
    <row r="113" spans="1:10" ht="12.75" customHeight="1" x14ac:dyDescent="0.2">
      <c r="A113" s="31" t="s">
        <v>146</v>
      </c>
      <c r="B113" s="2" t="s">
        <v>25</v>
      </c>
      <c r="C113" s="36">
        <f>VLOOKUP(B113,CLASSES!$A$3:$B$8,2,FALSE)</f>
        <v>240</v>
      </c>
      <c r="D113" s="5">
        <v>46133</v>
      </c>
      <c r="E113" s="5">
        <v>46137</v>
      </c>
      <c r="F113" s="48">
        <f t="shared" si="11"/>
        <v>4</v>
      </c>
      <c r="G113" s="47">
        <f t="shared" si="12"/>
        <v>960</v>
      </c>
      <c r="H113" s="39">
        <f t="shared" si="9"/>
        <v>0</v>
      </c>
      <c r="I113" s="45">
        <v>25</v>
      </c>
      <c r="J113" s="49">
        <f t="shared" si="13"/>
        <v>985</v>
      </c>
    </row>
    <row r="114" spans="1:10" ht="12.75" customHeight="1" x14ac:dyDescent="0.2">
      <c r="A114" s="31" t="s">
        <v>147</v>
      </c>
      <c r="B114" s="2" t="s">
        <v>19</v>
      </c>
      <c r="C114" s="36">
        <f>VLOOKUP(B114,CLASSES!$A$3:$B$8,2,FALSE)</f>
        <v>110</v>
      </c>
      <c r="D114" s="5">
        <v>46133</v>
      </c>
      <c r="E114" s="5">
        <v>46137</v>
      </c>
      <c r="F114" s="48">
        <f t="shared" si="11"/>
        <v>4</v>
      </c>
      <c r="G114" s="47">
        <f t="shared" si="12"/>
        <v>440</v>
      </c>
      <c r="H114" s="39">
        <f t="shared" si="9"/>
        <v>0</v>
      </c>
      <c r="I114" s="45">
        <v>35</v>
      </c>
      <c r="J114" s="49">
        <f t="shared" si="13"/>
        <v>475</v>
      </c>
    </row>
    <row r="115" spans="1:10" ht="12.75" customHeight="1" x14ac:dyDescent="0.2">
      <c r="A115" s="31" t="s">
        <v>148</v>
      </c>
      <c r="B115" s="2" t="s">
        <v>16</v>
      </c>
      <c r="C115" s="36">
        <f>VLOOKUP(B115,CLASSES!$A$3:$B$8,2,FALSE)</f>
        <v>90</v>
      </c>
      <c r="D115" s="5">
        <v>46133</v>
      </c>
      <c r="E115" s="5">
        <v>46137</v>
      </c>
      <c r="F115" s="48">
        <f t="shared" si="11"/>
        <v>4</v>
      </c>
      <c r="G115" s="38">
        <f t="shared" si="12"/>
        <v>360</v>
      </c>
      <c r="H115" s="39">
        <f t="shared" si="9"/>
        <v>0</v>
      </c>
      <c r="I115" s="35">
        <v>10</v>
      </c>
      <c r="J115" s="49">
        <f t="shared" si="13"/>
        <v>370</v>
      </c>
    </row>
    <row r="116" spans="1:10" ht="12.75" customHeight="1" x14ac:dyDescent="0.2">
      <c r="A116" s="31" t="s">
        <v>11</v>
      </c>
      <c r="B116" s="2" t="s">
        <v>25</v>
      </c>
      <c r="C116" s="36">
        <f>VLOOKUP(B116,CLASSES!$A$3:$B$8,2,FALSE)</f>
        <v>240</v>
      </c>
      <c r="D116" s="7">
        <v>46141</v>
      </c>
      <c r="E116" s="7">
        <v>46146</v>
      </c>
      <c r="F116" s="50">
        <f t="shared" si="11"/>
        <v>5</v>
      </c>
      <c r="G116" s="47">
        <f t="shared" si="12"/>
        <v>1200</v>
      </c>
      <c r="H116" s="39">
        <f t="shared" si="9"/>
        <v>0</v>
      </c>
      <c r="I116" s="45">
        <v>10</v>
      </c>
      <c r="J116" s="49">
        <f t="shared" si="13"/>
        <v>1210</v>
      </c>
    </row>
    <row r="117" spans="1:10" ht="12.75" customHeight="1" x14ac:dyDescent="0.2">
      <c r="A117" s="31" t="s">
        <v>149</v>
      </c>
      <c r="B117" s="2" t="s">
        <v>25</v>
      </c>
      <c r="C117" s="36">
        <f>VLOOKUP(B117,CLASSES!$A$3:$B$8,2,FALSE)</f>
        <v>240</v>
      </c>
      <c r="D117" s="7">
        <v>46141</v>
      </c>
      <c r="E117" s="7">
        <v>46146</v>
      </c>
      <c r="F117" s="50">
        <f t="shared" si="11"/>
        <v>5</v>
      </c>
      <c r="G117" s="47">
        <f t="shared" si="12"/>
        <v>1200</v>
      </c>
      <c r="H117" s="39">
        <f t="shared" si="9"/>
        <v>0</v>
      </c>
      <c r="I117" s="45">
        <v>10</v>
      </c>
      <c r="J117" s="49">
        <f t="shared" si="13"/>
        <v>1210</v>
      </c>
    </row>
    <row r="118" spans="1:10" ht="12.75" customHeight="1" x14ac:dyDescent="0.2">
      <c r="A118" s="31" t="s">
        <v>150</v>
      </c>
      <c r="B118" s="2" t="s">
        <v>25</v>
      </c>
      <c r="C118" s="36">
        <f>VLOOKUP(B118,CLASSES!$A$3:$B$8,2,FALSE)</f>
        <v>240</v>
      </c>
      <c r="D118" s="7">
        <v>46141</v>
      </c>
      <c r="E118" s="7">
        <v>46146</v>
      </c>
      <c r="F118" s="50">
        <f t="shared" si="11"/>
        <v>5</v>
      </c>
      <c r="G118" s="47">
        <f t="shared" si="12"/>
        <v>1200</v>
      </c>
      <c r="H118" s="39">
        <f t="shared" si="9"/>
        <v>0</v>
      </c>
      <c r="I118" s="45">
        <v>10</v>
      </c>
      <c r="J118" s="49">
        <f t="shared" si="13"/>
        <v>1210</v>
      </c>
    </row>
    <row r="119" spans="1:10" ht="12.75" customHeight="1" x14ac:dyDescent="0.2">
      <c r="A119" s="31" t="s">
        <v>77</v>
      </c>
      <c r="B119" s="2" t="s">
        <v>25</v>
      </c>
      <c r="C119" s="36">
        <f>VLOOKUP(B119,CLASSES!$A$3:$B$8,2,FALSE)</f>
        <v>240</v>
      </c>
      <c r="D119" s="5">
        <v>46141</v>
      </c>
      <c r="E119" s="5">
        <v>46144</v>
      </c>
      <c r="F119" s="48">
        <f t="shared" si="11"/>
        <v>3</v>
      </c>
      <c r="G119" s="38">
        <f t="shared" si="12"/>
        <v>720</v>
      </c>
      <c r="H119" s="39">
        <f t="shared" si="9"/>
        <v>0</v>
      </c>
      <c r="I119" s="35">
        <v>0</v>
      </c>
      <c r="J119" s="49">
        <f t="shared" si="13"/>
        <v>720</v>
      </c>
    </row>
    <row r="120" spans="1:10" ht="12.75" customHeight="1" x14ac:dyDescent="0.2">
      <c r="A120" s="31" t="s">
        <v>78</v>
      </c>
      <c r="B120" s="2" t="s">
        <v>19</v>
      </c>
      <c r="C120" s="36">
        <f>VLOOKUP(B120,CLASSES!$A$3:$B$8,2,FALSE)</f>
        <v>110</v>
      </c>
      <c r="D120" s="5">
        <v>46141</v>
      </c>
      <c r="E120" s="5">
        <v>46144</v>
      </c>
      <c r="F120" s="48">
        <f t="shared" si="11"/>
        <v>3</v>
      </c>
      <c r="G120" s="47">
        <f t="shared" si="12"/>
        <v>330</v>
      </c>
      <c r="H120" s="39">
        <f t="shared" si="9"/>
        <v>0</v>
      </c>
      <c r="I120" s="40">
        <v>5</v>
      </c>
      <c r="J120" s="49">
        <f t="shared" si="13"/>
        <v>335</v>
      </c>
    </row>
    <row r="121" spans="1:10" ht="12.75" customHeight="1" x14ac:dyDescent="0.2">
      <c r="A121" s="31" t="s">
        <v>80</v>
      </c>
      <c r="B121" s="2" t="s">
        <v>16</v>
      </c>
      <c r="C121" s="36">
        <f>VLOOKUP(B121,CLASSES!$A$3:$B$8,2,FALSE)</f>
        <v>90</v>
      </c>
      <c r="D121" s="5">
        <v>46141</v>
      </c>
      <c r="E121" s="5">
        <v>46144</v>
      </c>
      <c r="F121" s="48">
        <f t="shared" si="11"/>
        <v>3</v>
      </c>
      <c r="G121" s="47">
        <f t="shared" si="12"/>
        <v>270</v>
      </c>
      <c r="H121" s="39">
        <f t="shared" si="9"/>
        <v>0</v>
      </c>
      <c r="I121" s="40">
        <v>0</v>
      </c>
      <c r="J121" s="49">
        <f t="shared" si="13"/>
        <v>270</v>
      </c>
    </row>
    <row r="122" spans="1:10" ht="12.75" customHeight="1" x14ac:dyDescent="0.2">
      <c r="A122" s="31" t="s">
        <v>86</v>
      </c>
      <c r="B122" s="2" t="s">
        <v>25</v>
      </c>
      <c r="C122" s="36">
        <f>VLOOKUP(B122,CLASSES!$A$3:$B$8,2,FALSE)</f>
        <v>240</v>
      </c>
      <c r="D122" s="5">
        <v>46141</v>
      </c>
      <c r="E122" s="5">
        <v>46146</v>
      </c>
      <c r="F122" s="48">
        <f t="shared" si="11"/>
        <v>5</v>
      </c>
      <c r="G122" s="38">
        <f t="shared" si="12"/>
        <v>1200</v>
      </c>
      <c r="H122" s="39">
        <f t="shared" si="9"/>
        <v>0</v>
      </c>
      <c r="I122" s="36">
        <v>5</v>
      </c>
      <c r="J122" s="49">
        <f t="shared" si="13"/>
        <v>1205</v>
      </c>
    </row>
    <row r="123" spans="1:10" ht="12.75" customHeight="1" x14ac:dyDescent="0.2">
      <c r="A123" s="31" t="s">
        <v>138</v>
      </c>
      <c r="B123" s="2" t="s">
        <v>25</v>
      </c>
      <c r="C123" s="36">
        <f>VLOOKUP(B123,CLASSES!$A$3:$B$8,2,FALSE)</f>
        <v>240</v>
      </c>
      <c r="D123" s="5">
        <v>46141</v>
      </c>
      <c r="E123" s="5">
        <v>46146</v>
      </c>
      <c r="F123" s="48">
        <f t="shared" si="11"/>
        <v>5</v>
      </c>
      <c r="G123" s="38">
        <f t="shared" si="12"/>
        <v>1200</v>
      </c>
      <c r="H123" s="39">
        <f t="shared" si="9"/>
        <v>0</v>
      </c>
      <c r="I123" s="36">
        <v>0</v>
      </c>
      <c r="J123" s="49">
        <f t="shared" si="13"/>
        <v>1200</v>
      </c>
    </row>
    <row r="124" spans="1:10" ht="12.75" customHeight="1" x14ac:dyDescent="0.2">
      <c r="A124" s="31" t="s">
        <v>139</v>
      </c>
      <c r="B124" s="2" t="s">
        <v>25</v>
      </c>
      <c r="C124" s="36">
        <f>VLOOKUP(B124,CLASSES!$A$3:$B$8,2,FALSE)</f>
        <v>240</v>
      </c>
      <c r="D124" s="5">
        <v>46141</v>
      </c>
      <c r="E124" s="5">
        <v>46146</v>
      </c>
      <c r="F124" s="48">
        <f t="shared" si="11"/>
        <v>5</v>
      </c>
      <c r="G124" s="38">
        <f t="shared" si="12"/>
        <v>1200</v>
      </c>
      <c r="H124" s="39">
        <f t="shared" si="9"/>
        <v>0</v>
      </c>
      <c r="I124" s="35">
        <v>30</v>
      </c>
      <c r="J124" s="49">
        <f t="shared" si="13"/>
        <v>1230</v>
      </c>
    </row>
    <row r="125" spans="1:10" ht="12.75" customHeight="1" x14ac:dyDescent="0.2">
      <c r="A125" s="31" t="s">
        <v>142</v>
      </c>
      <c r="B125" s="2" t="s">
        <v>13</v>
      </c>
      <c r="C125" s="36">
        <f>VLOOKUP(B125,CLASSES!$A$3:$B$8,2,FALSE)</f>
        <v>380</v>
      </c>
      <c r="D125" s="5">
        <v>46141</v>
      </c>
      <c r="E125" s="5">
        <v>46146</v>
      </c>
      <c r="F125" s="48">
        <f t="shared" si="11"/>
        <v>5</v>
      </c>
      <c r="G125" s="47">
        <f t="shared" si="12"/>
        <v>1900</v>
      </c>
      <c r="H125" s="39">
        <f t="shared" si="9"/>
        <v>380</v>
      </c>
      <c r="I125" s="45">
        <v>30</v>
      </c>
      <c r="J125" s="49">
        <f t="shared" si="13"/>
        <v>1550</v>
      </c>
    </row>
    <row r="126" spans="1:10" ht="12.75" customHeight="1" x14ac:dyDescent="0.2">
      <c r="A126" s="31" t="s">
        <v>95</v>
      </c>
      <c r="B126" s="2" t="s">
        <v>16</v>
      </c>
      <c r="C126" s="36">
        <f>VLOOKUP(B126,CLASSES!$A$3:$B$8,2,FALSE)</f>
        <v>90</v>
      </c>
      <c r="D126" s="5">
        <v>46142</v>
      </c>
      <c r="E126" s="5">
        <v>46146</v>
      </c>
      <c r="F126" s="48">
        <f t="shared" si="11"/>
        <v>4</v>
      </c>
      <c r="G126" s="47">
        <f t="shared" si="12"/>
        <v>360</v>
      </c>
      <c r="H126" s="39">
        <f t="shared" si="9"/>
        <v>0</v>
      </c>
      <c r="I126" s="45">
        <v>0</v>
      </c>
      <c r="J126" s="49">
        <f t="shared" si="13"/>
        <v>360</v>
      </c>
    </row>
    <row r="127" spans="1:10" ht="12.75" customHeight="1" x14ac:dyDescent="0.2">
      <c r="A127" s="31" t="s">
        <v>93</v>
      </c>
      <c r="B127" s="2" t="s">
        <v>16</v>
      </c>
      <c r="C127" s="36">
        <f>VLOOKUP(B127,CLASSES!$A$3:$B$8,2,FALSE)</f>
        <v>90</v>
      </c>
      <c r="D127" s="5">
        <v>46142</v>
      </c>
      <c r="E127" s="5">
        <v>46146</v>
      </c>
      <c r="F127" s="48">
        <f t="shared" si="11"/>
        <v>4</v>
      </c>
      <c r="G127" s="47">
        <f t="shared" si="12"/>
        <v>360</v>
      </c>
      <c r="H127" s="39">
        <f t="shared" si="9"/>
        <v>0</v>
      </c>
      <c r="I127" s="45">
        <v>120</v>
      </c>
      <c r="J127" s="49">
        <f t="shared" si="13"/>
        <v>480</v>
      </c>
    </row>
    <row r="128" spans="1:10" ht="12.75" customHeight="1" x14ac:dyDescent="0.2">
      <c r="A128" s="31" t="s">
        <v>151</v>
      </c>
      <c r="B128" s="2" t="s">
        <v>16</v>
      </c>
      <c r="C128" s="36">
        <f>VLOOKUP(B128,CLASSES!$A$3:$B$8,2,FALSE)</f>
        <v>90</v>
      </c>
      <c r="D128" s="5">
        <v>46142</v>
      </c>
      <c r="E128" s="5">
        <v>46146</v>
      </c>
      <c r="F128" s="48">
        <f t="shared" si="11"/>
        <v>4</v>
      </c>
      <c r="G128" s="47">
        <f t="shared" si="12"/>
        <v>360</v>
      </c>
      <c r="H128" s="39">
        <f t="shared" si="9"/>
        <v>0</v>
      </c>
      <c r="I128" s="45">
        <v>25</v>
      </c>
      <c r="J128" s="49">
        <f t="shared" si="13"/>
        <v>385</v>
      </c>
    </row>
    <row r="129" spans="1:10" ht="12.75" customHeight="1" x14ac:dyDescent="0.2">
      <c r="A129" s="31" t="s">
        <v>152</v>
      </c>
      <c r="B129" s="2" t="s">
        <v>25</v>
      </c>
      <c r="C129" s="36">
        <f>VLOOKUP(B129,CLASSES!$A$3:$B$8,2,FALSE)</f>
        <v>240</v>
      </c>
      <c r="D129" s="5">
        <v>46149</v>
      </c>
      <c r="E129" s="5">
        <v>46152</v>
      </c>
      <c r="F129" s="48">
        <f t="shared" si="11"/>
        <v>3</v>
      </c>
      <c r="G129" s="47">
        <f t="shared" si="12"/>
        <v>720</v>
      </c>
      <c r="H129" s="39">
        <f t="shared" si="9"/>
        <v>0</v>
      </c>
      <c r="I129" s="45">
        <v>35</v>
      </c>
      <c r="J129" s="49">
        <f t="shared" si="13"/>
        <v>755</v>
      </c>
    </row>
    <row r="130" spans="1:10" ht="12.75" customHeight="1" x14ac:dyDescent="0.2">
      <c r="A130" s="31" t="s">
        <v>102</v>
      </c>
      <c r="B130" s="2" t="s">
        <v>13</v>
      </c>
      <c r="C130" s="36">
        <f>VLOOKUP(B130,CLASSES!$A$3:$B$8,2,FALSE)</f>
        <v>380</v>
      </c>
      <c r="D130" s="5">
        <v>46167</v>
      </c>
      <c r="E130" s="5">
        <v>46174</v>
      </c>
      <c r="F130" s="48">
        <f t="shared" si="11"/>
        <v>7</v>
      </c>
      <c r="G130" s="38">
        <f t="shared" si="12"/>
        <v>2660</v>
      </c>
      <c r="H130" s="39">
        <f t="shared" si="9"/>
        <v>532</v>
      </c>
      <c r="I130" s="35">
        <v>10</v>
      </c>
      <c r="J130" s="49">
        <f t="shared" si="13"/>
        <v>2138</v>
      </c>
    </row>
    <row r="131" spans="1:10" ht="12.75" customHeight="1" x14ac:dyDescent="0.2">
      <c r="A131" s="31" t="s">
        <v>153</v>
      </c>
      <c r="B131" s="2" t="s">
        <v>25</v>
      </c>
      <c r="C131" s="36">
        <f>VLOOKUP(B131,CLASSES!$A$3:$B$8,2,FALSE)</f>
        <v>240</v>
      </c>
      <c r="D131" s="5">
        <v>46170</v>
      </c>
      <c r="E131" s="5">
        <v>46183</v>
      </c>
      <c r="F131" s="48">
        <f t="shared" si="11"/>
        <v>13</v>
      </c>
      <c r="G131" s="47">
        <f t="shared" si="12"/>
        <v>3120</v>
      </c>
      <c r="H131" s="39">
        <f t="shared" si="9"/>
        <v>0</v>
      </c>
      <c r="I131" s="45">
        <v>10</v>
      </c>
      <c r="J131" s="49">
        <f t="shared" si="13"/>
        <v>3130</v>
      </c>
    </row>
    <row r="132" spans="1:10" ht="12.75" customHeight="1" x14ac:dyDescent="0.2">
      <c r="A132" s="31" t="s">
        <v>26</v>
      </c>
      <c r="B132" s="2" t="s">
        <v>28</v>
      </c>
      <c r="C132" s="36">
        <f>VLOOKUP(B132,CLASSES!$A$3:$B$8,2,FALSE)</f>
        <v>170</v>
      </c>
      <c r="D132" s="7">
        <v>46170</v>
      </c>
      <c r="E132" s="7">
        <v>46184</v>
      </c>
      <c r="F132" s="50">
        <f t="shared" ref="F132:F158" si="14">E132-D132</f>
        <v>14</v>
      </c>
      <c r="G132" s="47">
        <f t="shared" ref="G132:G158" si="15">C132*F132</f>
        <v>2380</v>
      </c>
      <c r="H132" s="39">
        <f t="shared" ref="H132:H158" si="16">IF(AND(B132="PRESIDENCIAL",F132&gt;4),G132*0.2,0)</f>
        <v>0</v>
      </c>
      <c r="I132" s="45">
        <v>10</v>
      </c>
      <c r="J132" s="49">
        <f t="shared" ref="J132:J158" si="17">G132-H132+I132</f>
        <v>2390</v>
      </c>
    </row>
    <row r="133" spans="1:10" ht="12.75" customHeight="1" x14ac:dyDescent="0.2">
      <c r="A133" s="31" t="s">
        <v>154</v>
      </c>
      <c r="B133" s="2" t="s">
        <v>25</v>
      </c>
      <c r="C133" s="36">
        <f>VLOOKUP(B133,CLASSES!$A$3:$B$8,2,FALSE)</f>
        <v>240</v>
      </c>
      <c r="D133" s="5">
        <v>46174</v>
      </c>
      <c r="E133" s="5">
        <v>46185</v>
      </c>
      <c r="F133" s="48">
        <f t="shared" si="14"/>
        <v>11</v>
      </c>
      <c r="G133" s="38">
        <f t="shared" si="15"/>
        <v>2640</v>
      </c>
      <c r="H133" s="39">
        <f t="shared" si="16"/>
        <v>0</v>
      </c>
      <c r="I133" s="36">
        <v>0</v>
      </c>
      <c r="J133" s="49">
        <f t="shared" si="17"/>
        <v>2640</v>
      </c>
    </row>
    <row r="134" spans="1:10" ht="12.75" customHeight="1" x14ac:dyDescent="0.2">
      <c r="A134" s="31" t="s">
        <v>29</v>
      </c>
      <c r="B134" s="2" t="s">
        <v>19</v>
      </c>
      <c r="C134" s="36">
        <f>VLOOKUP(B134,CLASSES!$A$3:$B$8,2,FALSE)</f>
        <v>110</v>
      </c>
      <c r="D134" s="7">
        <v>46174</v>
      </c>
      <c r="E134" s="7">
        <v>46183</v>
      </c>
      <c r="F134" s="50">
        <f t="shared" si="14"/>
        <v>9</v>
      </c>
      <c r="G134" s="51">
        <f t="shared" si="15"/>
        <v>990</v>
      </c>
      <c r="H134" s="39">
        <f t="shared" si="16"/>
        <v>0</v>
      </c>
      <c r="I134" s="40">
        <v>5</v>
      </c>
      <c r="J134" s="49">
        <f t="shared" si="17"/>
        <v>995</v>
      </c>
    </row>
    <row r="135" spans="1:10" ht="12.75" customHeight="1" x14ac:dyDescent="0.2">
      <c r="A135" s="31" t="s">
        <v>31</v>
      </c>
      <c r="B135" s="2" t="s">
        <v>19</v>
      </c>
      <c r="C135" s="36">
        <f>VLOOKUP(B135,CLASSES!$A$3:$B$8,2,FALSE)</f>
        <v>110</v>
      </c>
      <c r="D135" s="7">
        <v>46174</v>
      </c>
      <c r="E135" s="7">
        <v>46185</v>
      </c>
      <c r="F135" s="50">
        <f t="shared" si="14"/>
        <v>11</v>
      </c>
      <c r="G135" s="51">
        <f t="shared" si="15"/>
        <v>1210</v>
      </c>
      <c r="H135" s="39">
        <f t="shared" si="16"/>
        <v>0</v>
      </c>
      <c r="I135" s="40">
        <v>0</v>
      </c>
      <c r="J135" s="49">
        <f t="shared" si="17"/>
        <v>1210</v>
      </c>
    </row>
    <row r="136" spans="1:10" ht="12.75" customHeight="1" x14ac:dyDescent="0.2">
      <c r="A136" s="31" t="s">
        <v>73</v>
      </c>
      <c r="B136" s="2" t="s">
        <v>16</v>
      </c>
      <c r="C136" s="36">
        <f>VLOOKUP(B136,CLASSES!$A$3:$B$8,2,FALSE)</f>
        <v>90</v>
      </c>
      <c r="D136" s="5">
        <v>46174</v>
      </c>
      <c r="E136" s="5">
        <v>46183</v>
      </c>
      <c r="F136" s="48">
        <f t="shared" si="14"/>
        <v>9</v>
      </c>
      <c r="G136" s="38">
        <f t="shared" si="15"/>
        <v>810</v>
      </c>
      <c r="H136" s="39">
        <f t="shared" si="16"/>
        <v>0</v>
      </c>
      <c r="I136" s="36">
        <v>5</v>
      </c>
      <c r="J136" s="49">
        <f t="shared" si="17"/>
        <v>815</v>
      </c>
    </row>
    <row r="137" spans="1:10" ht="12.75" customHeight="1" x14ac:dyDescent="0.2">
      <c r="A137" s="31" t="s">
        <v>155</v>
      </c>
      <c r="B137" s="2" t="s">
        <v>25</v>
      </c>
      <c r="C137" s="36">
        <f>VLOOKUP(B137,CLASSES!$A$3:$B$8,2,FALSE)</f>
        <v>240</v>
      </c>
      <c r="D137" s="5">
        <v>46175</v>
      </c>
      <c r="E137" s="5">
        <v>46182</v>
      </c>
      <c r="F137" s="48">
        <f t="shared" si="14"/>
        <v>7</v>
      </c>
      <c r="G137" s="38">
        <f t="shared" si="15"/>
        <v>1680</v>
      </c>
      <c r="H137" s="39">
        <f t="shared" si="16"/>
        <v>0</v>
      </c>
      <c r="I137" s="35">
        <v>0</v>
      </c>
      <c r="J137" s="49">
        <f t="shared" si="17"/>
        <v>1680</v>
      </c>
    </row>
    <row r="138" spans="1:10" ht="12.75" customHeight="1" x14ac:dyDescent="0.2">
      <c r="A138" s="31" t="s">
        <v>23</v>
      </c>
      <c r="B138" s="2" t="s">
        <v>19</v>
      </c>
      <c r="C138" s="36">
        <f>VLOOKUP(B138,CLASSES!$A$3:$B$8,2,FALSE)</f>
        <v>110</v>
      </c>
      <c r="D138" s="5">
        <v>46175</v>
      </c>
      <c r="E138" s="5">
        <v>46180</v>
      </c>
      <c r="F138" s="48">
        <f t="shared" si="14"/>
        <v>5</v>
      </c>
      <c r="G138" s="38">
        <f t="shared" si="15"/>
        <v>550</v>
      </c>
      <c r="H138" s="39">
        <f t="shared" si="16"/>
        <v>0</v>
      </c>
      <c r="I138" s="35">
        <v>30</v>
      </c>
      <c r="J138" s="49">
        <f t="shared" si="17"/>
        <v>580</v>
      </c>
    </row>
    <row r="139" spans="1:10" ht="12.75" customHeight="1" x14ac:dyDescent="0.2">
      <c r="A139" s="31" t="s">
        <v>35</v>
      </c>
      <c r="B139" s="2" t="s">
        <v>16</v>
      </c>
      <c r="C139" s="36">
        <f>VLOOKUP(B139,CLASSES!$A$3:$B$8,2,FALSE)</f>
        <v>90</v>
      </c>
      <c r="D139" s="7">
        <v>46175</v>
      </c>
      <c r="E139" s="7">
        <v>46183</v>
      </c>
      <c r="F139" s="50">
        <f t="shared" si="14"/>
        <v>8</v>
      </c>
      <c r="G139" s="47">
        <f t="shared" si="15"/>
        <v>720</v>
      </c>
      <c r="H139" s="39">
        <f t="shared" si="16"/>
        <v>0</v>
      </c>
      <c r="I139" s="45">
        <v>30</v>
      </c>
      <c r="J139" s="49">
        <f t="shared" si="17"/>
        <v>750</v>
      </c>
    </row>
    <row r="140" spans="1:10" ht="12.75" customHeight="1" x14ac:dyDescent="0.2">
      <c r="A140" s="31" t="s">
        <v>37</v>
      </c>
      <c r="B140" s="2" t="s">
        <v>25</v>
      </c>
      <c r="C140" s="36">
        <f>VLOOKUP(B140,CLASSES!$A$3:$B$8,2,FALSE)</f>
        <v>240</v>
      </c>
      <c r="D140" s="7">
        <v>46175</v>
      </c>
      <c r="E140" s="7">
        <v>46182</v>
      </c>
      <c r="F140" s="50">
        <f t="shared" si="14"/>
        <v>7</v>
      </c>
      <c r="G140" s="51">
        <f t="shared" si="15"/>
        <v>1680</v>
      </c>
      <c r="H140" s="39">
        <f t="shared" si="16"/>
        <v>0</v>
      </c>
      <c r="I140" s="40">
        <v>0</v>
      </c>
      <c r="J140" s="49">
        <f t="shared" si="17"/>
        <v>1680</v>
      </c>
    </row>
    <row r="141" spans="1:10" ht="12.75" customHeight="1" x14ac:dyDescent="0.2">
      <c r="A141" s="31" t="s">
        <v>33</v>
      </c>
      <c r="B141" s="2" t="s">
        <v>25</v>
      </c>
      <c r="C141" s="36">
        <f>VLOOKUP(B141,CLASSES!$A$3:$B$8,2,FALSE)</f>
        <v>240</v>
      </c>
      <c r="D141" s="7">
        <v>46176</v>
      </c>
      <c r="E141" s="7">
        <v>46183</v>
      </c>
      <c r="F141" s="50">
        <f t="shared" si="14"/>
        <v>7</v>
      </c>
      <c r="G141" s="51">
        <f t="shared" si="15"/>
        <v>1680</v>
      </c>
      <c r="H141" s="39">
        <f t="shared" si="16"/>
        <v>0</v>
      </c>
      <c r="I141" s="40">
        <v>120</v>
      </c>
      <c r="J141" s="49">
        <f t="shared" si="17"/>
        <v>1800</v>
      </c>
    </row>
    <row r="142" spans="1:10" ht="12.75" customHeight="1" x14ac:dyDescent="0.2">
      <c r="A142" s="31" t="s">
        <v>156</v>
      </c>
      <c r="B142" s="2" t="s">
        <v>25</v>
      </c>
      <c r="C142" s="36">
        <f>VLOOKUP(B142,CLASSES!$A$3:$B$8,2,FALSE)</f>
        <v>240</v>
      </c>
      <c r="D142" s="7">
        <v>46176</v>
      </c>
      <c r="E142" s="7">
        <v>46182</v>
      </c>
      <c r="F142" s="50">
        <f t="shared" si="14"/>
        <v>6</v>
      </c>
      <c r="G142" s="47">
        <f t="shared" si="15"/>
        <v>1440</v>
      </c>
      <c r="H142" s="39">
        <f t="shared" si="16"/>
        <v>0</v>
      </c>
      <c r="I142" s="45">
        <v>50</v>
      </c>
      <c r="J142" s="49">
        <f t="shared" si="17"/>
        <v>1490</v>
      </c>
    </row>
    <row r="143" spans="1:10" ht="12.75" customHeight="1" x14ac:dyDescent="0.2">
      <c r="A143" s="31" t="s">
        <v>157</v>
      </c>
      <c r="B143" s="2" t="s">
        <v>19</v>
      </c>
      <c r="C143" s="36">
        <f>VLOOKUP(B143,CLASSES!$A$3:$B$8,2,FALSE)</f>
        <v>110</v>
      </c>
      <c r="D143" s="5">
        <v>46176</v>
      </c>
      <c r="E143" s="5">
        <v>46182</v>
      </c>
      <c r="F143" s="48">
        <f t="shared" si="14"/>
        <v>6</v>
      </c>
      <c r="G143" s="38">
        <f t="shared" si="15"/>
        <v>660</v>
      </c>
      <c r="H143" s="39">
        <f t="shared" si="16"/>
        <v>0</v>
      </c>
      <c r="I143" s="35">
        <v>50</v>
      </c>
      <c r="J143" s="49">
        <f t="shared" si="17"/>
        <v>710</v>
      </c>
    </row>
    <row r="144" spans="1:10" ht="12.75" customHeight="1" x14ac:dyDescent="0.2">
      <c r="A144" s="31" t="s">
        <v>142</v>
      </c>
      <c r="B144" s="2" t="s">
        <v>25</v>
      </c>
      <c r="C144" s="36">
        <f>VLOOKUP(B144,CLASSES!$A$3:$B$8,2,FALSE)</f>
        <v>240</v>
      </c>
      <c r="D144" s="5">
        <v>46176</v>
      </c>
      <c r="E144" s="5">
        <v>46183</v>
      </c>
      <c r="F144" s="48">
        <f t="shared" si="14"/>
        <v>7</v>
      </c>
      <c r="G144" s="38">
        <f t="shared" si="15"/>
        <v>1680</v>
      </c>
      <c r="H144" s="39">
        <f t="shared" si="16"/>
        <v>0</v>
      </c>
      <c r="I144" s="36">
        <v>120</v>
      </c>
      <c r="J144" s="49">
        <f t="shared" si="17"/>
        <v>1800</v>
      </c>
    </row>
    <row r="145" spans="1:10" ht="12.75" customHeight="1" x14ac:dyDescent="0.2">
      <c r="A145" s="31" t="s">
        <v>158</v>
      </c>
      <c r="B145" s="2" t="s">
        <v>16</v>
      </c>
      <c r="C145" s="36">
        <f>VLOOKUP(B145,CLASSES!$A$3:$B$8,2,FALSE)</f>
        <v>90</v>
      </c>
      <c r="D145" s="5">
        <v>46177</v>
      </c>
      <c r="E145" s="5">
        <v>46186</v>
      </c>
      <c r="F145" s="48">
        <f t="shared" si="14"/>
        <v>9</v>
      </c>
      <c r="G145" s="38">
        <f t="shared" si="15"/>
        <v>810</v>
      </c>
      <c r="H145" s="39">
        <f t="shared" si="16"/>
        <v>0</v>
      </c>
      <c r="I145" s="36">
        <v>30</v>
      </c>
      <c r="J145" s="49">
        <f t="shared" si="17"/>
        <v>840</v>
      </c>
    </row>
    <row r="146" spans="1:10" ht="12.75" customHeight="1" x14ac:dyDescent="0.2">
      <c r="A146" s="31" t="s">
        <v>20</v>
      </c>
      <c r="B146" s="2" t="s">
        <v>22</v>
      </c>
      <c r="C146" s="36">
        <f>VLOOKUP(B146,CLASSES!$A$3:$B$8,2,FALSE)</f>
        <v>120</v>
      </c>
      <c r="D146" s="5">
        <v>46177</v>
      </c>
      <c r="E146" s="5">
        <v>46182</v>
      </c>
      <c r="F146" s="48">
        <f t="shared" si="14"/>
        <v>5</v>
      </c>
      <c r="G146" s="38">
        <f t="shared" si="15"/>
        <v>600</v>
      </c>
      <c r="H146" s="39">
        <f t="shared" si="16"/>
        <v>0</v>
      </c>
      <c r="I146" s="35">
        <v>25</v>
      </c>
      <c r="J146" s="49">
        <f t="shared" si="17"/>
        <v>625</v>
      </c>
    </row>
    <row r="147" spans="1:10" ht="12.75" customHeight="1" x14ac:dyDescent="0.2">
      <c r="A147" s="31" t="s">
        <v>39</v>
      </c>
      <c r="B147" s="2" t="s">
        <v>13</v>
      </c>
      <c r="C147" s="36">
        <f>VLOOKUP(B147,CLASSES!$A$3:$B$8,2,FALSE)</f>
        <v>380</v>
      </c>
      <c r="D147" s="7">
        <v>46177</v>
      </c>
      <c r="E147" s="7">
        <v>46188</v>
      </c>
      <c r="F147" s="50">
        <f t="shared" si="14"/>
        <v>11</v>
      </c>
      <c r="G147" s="47">
        <f t="shared" si="15"/>
        <v>4180</v>
      </c>
      <c r="H147" s="39">
        <f t="shared" si="16"/>
        <v>836</v>
      </c>
      <c r="I147" s="45">
        <v>20</v>
      </c>
      <c r="J147" s="49">
        <f t="shared" si="17"/>
        <v>3364</v>
      </c>
    </row>
    <row r="148" spans="1:10" ht="12.75" customHeight="1" x14ac:dyDescent="0.2">
      <c r="A148" s="31" t="s">
        <v>159</v>
      </c>
      <c r="B148" s="2" t="s">
        <v>16</v>
      </c>
      <c r="C148" s="36">
        <f>VLOOKUP(B148,CLASSES!$A$3:$B$8,2,FALSE)</f>
        <v>90</v>
      </c>
      <c r="D148" s="7">
        <v>46177</v>
      </c>
      <c r="E148" s="7">
        <v>46186</v>
      </c>
      <c r="F148" s="50">
        <f t="shared" si="14"/>
        <v>9</v>
      </c>
      <c r="G148" s="47">
        <f t="shared" si="15"/>
        <v>810</v>
      </c>
      <c r="H148" s="39">
        <f t="shared" si="16"/>
        <v>0</v>
      </c>
      <c r="I148" s="45">
        <v>30</v>
      </c>
      <c r="J148" s="49">
        <f t="shared" si="17"/>
        <v>840</v>
      </c>
    </row>
    <row r="149" spans="1:10" ht="12.75" customHeight="1" x14ac:dyDescent="0.2">
      <c r="A149" s="31" t="s">
        <v>160</v>
      </c>
      <c r="B149" s="2" t="s">
        <v>22</v>
      </c>
      <c r="C149" s="36">
        <f>VLOOKUP(B149,CLASSES!$A$3:$B$8,2,FALSE)</f>
        <v>120</v>
      </c>
      <c r="D149" s="7">
        <v>46177</v>
      </c>
      <c r="E149" s="7">
        <v>46182</v>
      </c>
      <c r="F149" s="50">
        <f t="shared" si="14"/>
        <v>5</v>
      </c>
      <c r="G149" s="47">
        <f t="shared" si="15"/>
        <v>600</v>
      </c>
      <c r="H149" s="39">
        <f t="shared" si="16"/>
        <v>0</v>
      </c>
      <c r="I149" s="45">
        <v>25</v>
      </c>
      <c r="J149" s="49">
        <f t="shared" si="17"/>
        <v>625</v>
      </c>
    </row>
    <row r="150" spans="1:10" ht="12.75" customHeight="1" x14ac:dyDescent="0.2">
      <c r="A150" s="31" t="s">
        <v>161</v>
      </c>
      <c r="B150" s="2" t="s">
        <v>22</v>
      </c>
      <c r="C150" s="36">
        <f>VLOOKUP(B150,CLASSES!$A$3:$B$8,2,FALSE)</f>
        <v>120</v>
      </c>
      <c r="D150" s="7">
        <v>46177</v>
      </c>
      <c r="E150" s="7">
        <v>46185</v>
      </c>
      <c r="F150" s="50">
        <f t="shared" si="14"/>
        <v>8</v>
      </c>
      <c r="G150" s="47">
        <f t="shared" si="15"/>
        <v>960</v>
      </c>
      <c r="H150" s="39">
        <f t="shared" si="16"/>
        <v>0</v>
      </c>
      <c r="I150" s="45">
        <v>35</v>
      </c>
      <c r="J150" s="49">
        <f t="shared" si="17"/>
        <v>995</v>
      </c>
    </row>
    <row r="151" spans="1:10" ht="12.75" customHeight="1" x14ac:dyDescent="0.2">
      <c r="A151" s="31" t="s">
        <v>69</v>
      </c>
      <c r="B151" s="2" t="s">
        <v>13</v>
      </c>
      <c r="C151" s="36">
        <f>VLOOKUP(B151,CLASSES!$A$3:$B$8,2,FALSE)</f>
        <v>380</v>
      </c>
      <c r="D151" s="5">
        <v>46177</v>
      </c>
      <c r="E151" s="5">
        <v>46188</v>
      </c>
      <c r="F151" s="48">
        <f t="shared" si="14"/>
        <v>11</v>
      </c>
      <c r="G151" s="38">
        <f t="shared" si="15"/>
        <v>4180</v>
      </c>
      <c r="H151" s="39">
        <f t="shared" si="16"/>
        <v>836</v>
      </c>
      <c r="I151" s="35">
        <v>20</v>
      </c>
      <c r="J151" s="49">
        <f t="shared" si="17"/>
        <v>3364</v>
      </c>
    </row>
    <row r="152" spans="1:10" ht="12.75" customHeight="1" x14ac:dyDescent="0.2">
      <c r="A152" s="30" t="s">
        <v>118</v>
      </c>
      <c r="B152" s="2" t="s">
        <v>19</v>
      </c>
      <c r="C152" s="36">
        <f>VLOOKUP(B152,CLASSES!$A$3:$B$8,2,FALSE)</f>
        <v>110</v>
      </c>
      <c r="D152" s="5">
        <v>46177</v>
      </c>
      <c r="E152" s="5">
        <v>46185</v>
      </c>
      <c r="F152" s="48">
        <f t="shared" si="14"/>
        <v>8</v>
      </c>
      <c r="G152" s="38">
        <f t="shared" si="15"/>
        <v>880</v>
      </c>
      <c r="H152" s="39">
        <f t="shared" si="16"/>
        <v>0</v>
      </c>
      <c r="I152" s="36">
        <v>35</v>
      </c>
      <c r="J152" s="49">
        <f t="shared" si="17"/>
        <v>915</v>
      </c>
    </row>
    <row r="153" spans="1:10" ht="12.75" customHeight="1" x14ac:dyDescent="0.2">
      <c r="A153" s="31" t="s">
        <v>162</v>
      </c>
      <c r="B153" s="2" t="s">
        <v>19</v>
      </c>
      <c r="C153" s="36">
        <f>VLOOKUP(B153,CLASSES!$A$3:$B$8,2,FALSE)</f>
        <v>110</v>
      </c>
      <c r="D153" s="7">
        <v>46178</v>
      </c>
      <c r="E153" s="7">
        <v>46179</v>
      </c>
      <c r="F153" s="50">
        <f t="shared" si="14"/>
        <v>1</v>
      </c>
      <c r="G153" s="51">
        <f t="shared" si="15"/>
        <v>110</v>
      </c>
      <c r="H153" s="39">
        <f t="shared" si="16"/>
        <v>0</v>
      </c>
      <c r="I153" s="40">
        <v>15</v>
      </c>
      <c r="J153" s="49">
        <f t="shared" si="17"/>
        <v>125</v>
      </c>
    </row>
    <row r="154" spans="1:10" ht="12.75" customHeight="1" x14ac:dyDescent="0.2">
      <c r="A154" s="30" t="s">
        <v>47</v>
      </c>
      <c r="B154" s="2" t="s">
        <v>22</v>
      </c>
      <c r="C154" s="36">
        <f>VLOOKUP(B154,CLASSES!$A$3:$B$8,2,FALSE)</f>
        <v>120</v>
      </c>
      <c r="D154" s="5">
        <v>46178</v>
      </c>
      <c r="E154" s="5">
        <v>46179</v>
      </c>
      <c r="F154" s="48">
        <f t="shared" si="14"/>
        <v>1</v>
      </c>
      <c r="G154" s="38">
        <f t="shared" si="15"/>
        <v>120</v>
      </c>
      <c r="H154" s="39">
        <f t="shared" si="16"/>
        <v>0</v>
      </c>
      <c r="I154" s="36">
        <v>15</v>
      </c>
      <c r="J154" s="49">
        <f t="shared" si="17"/>
        <v>135</v>
      </c>
    </row>
    <row r="155" spans="1:10" ht="12.75" customHeight="1" x14ac:dyDescent="0.2">
      <c r="A155" s="31" t="s">
        <v>67</v>
      </c>
      <c r="B155" s="2" t="s">
        <v>25</v>
      </c>
      <c r="C155" s="36">
        <f>VLOOKUP(B155,CLASSES!$A$3:$B$8,2,FALSE)</f>
        <v>240</v>
      </c>
      <c r="D155" s="5">
        <v>46180</v>
      </c>
      <c r="E155" s="5">
        <v>46188</v>
      </c>
      <c r="F155" s="48">
        <f t="shared" si="14"/>
        <v>8</v>
      </c>
      <c r="G155" s="38">
        <f t="shared" si="15"/>
        <v>1920</v>
      </c>
      <c r="H155" s="39">
        <f t="shared" si="16"/>
        <v>0</v>
      </c>
      <c r="I155" s="36">
        <v>0</v>
      </c>
      <c r="J155" s="49">
        <f t="shared" si="17"/>
        <v>1920</v>
      </c>
    </row>
    <row r="156" spans="1:10" ht="12.75" customHeight="1" x14ac:dyDescent="0.2">
      <c r="A156" s="31" t="s">
        <v>71</v>
      </c>
      <c r="B156" s="2" t="s">
        <v>13</v>
      </c>
      <c r="C156" s="36">
        <f>VLOOKUP(B156,CLASSES!$A$3:$B$8,2,FALSE)</f>
        <v>380</v>
      </c>
      <c r="D156" s="7">
        <v>46180</v>
      </c>
      <c r="E156" s="7">
        <v>46188</v>
      </c>
      <c r="F156" s="50">
        <f t="shared" si="14"/>
        <v>8</v>
      </c>
      <c r="G156" s="51">
        <f t="shared" si="15"/>
        <v>3040</v>
      </c>
      <c r="H156" s="39">
        <f t="shared" si="16"/>
        <v>608</v>
      </c>
      <c r="I156" s="40">
        <v>0</v>
      </c>
      <c r="J156" s="49">
        <f t="shared" si="17"/>
        <v>2432</v>
      </c>
    </row>
    <row r="157" spans="1:10" ht="12.75" customHeight="1" x14ac:dyDescent="0.2">
      <c r="A157" s="31" t="s">
        <v>74</v>
      </c>
      <c r="B157" s="2" t="s">
        <v>25</v>
      </c>
      <c r="C157" s="36">
        <f>VLOOKUP(B157,CLASSES!$A$3:$B$8,2,FALSE)</f>
        <v>240</v>
      </c>
      <c r="D157" s="7">
        <v>46181</v>
      </c>
      <c r="E157" s="7">
        <v>46186</v>
      </c>
      <c r="F157" s="50">
        <f t="shared" si="14"/>
        <v>5</v>
      </c>
      <c r="G157" s="51">
        <f t="shared" si="15"/>
        <v>1200</v>
      </c>
      <c r="H157" s="39">
        <f t="shared" si="16"/>
        <v>0</v>
      </c>
      <c r="I157" s="40">
        <v>52</v>
      </c>
      <c r="J157" s="49">
        <f t="shared" si="17"/>
        <v>1252</v>
      </c>
    </row>
    <row r="158" spans="1:10" ht="12.75" customHeight="1" x14ac:dyDescent="0.2">
      <c r="A158" s="31" t="s">
        <v>76</v>
      </c>
      <c r="B158" s="2" t="s">
        <v>28</v>
      </c>
      <c r="C158" s="36">
        <f>VLOOKUP(B158,CLASSES!$A$3:$B$8,2,FALSE)</f>
        <v>170</v>
      </c>
      <c r="D158" s="7">
        <v>46183</v>
      </c>
      <c r="E158" s="7">
        <v>46184</v>
      </c>
      <c r="F158" s="50">
        <f t="shared" si="14"/>
        <v>1</v>
      </c>
      <c r="G158" s="47">
        <f t="shared" si="15"/>
        <v>170</v>
      </c>
      <c r="H158" s="39">
        <f t="shared" si="16"/>
        <v>0</v>
      </c>
      <c r="I158" s="45">
        <v>12</v>
      </c>
      <c r="J158" s="49">
        <f t="shared" si="17"/>
        <v>182</v>
      </c>
    </row>
    <row r="159" spans="1:10" ht="12.75" customHeight="1" x14ac:dyDescent="0.2">
      <c r="A159" s="71"/>
      <c r="B159" s="72"/>
      <c r="C159" s="72"/>
      <c r="D159" s="72"/>
      <c r="E159" s="72"/>
      <c r="F159" s="72"/>
      <c r="G159" s="73"/>
      <c r="H159" s="72"/>
      <c r="I159" s="72"/>
      <c r="J159" s="74"/>
    </row>
    <row r="160" spans="1:10" ht="15.75" customHeight="1" x14ac:dyDescent="0.25">
      <c r="A160" s="75" t="s">
        <v>163</v>
      </c>
      <c r="B160" s="76"/>
      <c r="C160" s="76"/>
      <c r="D160" s="76"/>
      <c r="E160" s="76"/>
      <c r="F160" s="76"/>
      <c r="G160" s="56"/>
      <c r="H160" s="55"/>
      <c r="I160" s="13"/>
      <c r="J160" s="8"/>
    </row>
    <row r="161" spans="1:10" ht="12.75" customHeight="1" x14ac:dyDescent="0.2">
      <c r="A161" s="52"/>
      <c r="B161" s="53"/>
      <c r="C161" s="53"/>
      <c r="D161" s="53"/>
      <c r="E161" s="53"/>
      <c r="F161" s="53"/>
      <c r="G161" s="57"/>
      <c r="H161" s="53"/>
      <c r="I161" s="53"/>
      <c r="J161" s="54"/>
    </row>
    <row r="162" spans="1:10" ht="12.75" customHeight="1" x14ac:dyDescent="0.2">
      <c r="A162" s="52"/>
      <c r="B162" s="53"/>
      <c r="C162" s="53"/>
      <c r="D162" s="53"/>
      <c r="E162" s="53"/>
      <c r="F162" s="53"/>
      <c r="G162" s="57"/>
      <c r="H162" s="53"/>
      <c r="I162" s="53"/>
      <c r="J162" s="54"/>
    </row>
    <row r="163" spans="1:10" ht="53.25" customHeight="1" x14ac:dyDescent="0.2">
      <c r="A163" s="61" t="s">
        <v>182</v>
      </c>
      <c r="B163" s="62"/>
      <c r="C163" s="62"/>
      <c r="D163" s="62"/>
      <c r="E163" s="62"/>
      <c r="F163" s="62"/>
      <c r="G163" s="63"/>
      <c r="H163" s="62"/>
      <c r="I163" s="62"/>
      <c r="J163" s="64"/>
    </row>
    <row r="164" spans="1:10" ht="12.75" customHeight="1" x14ac:dyDescent="0.2"/>
    <row r="165" spans="1:10" ht="12.75" customHeight="1" x14ac:dyDescent="0.2"/>
    <row r="166" spans="1:10" ht="12.75" customHeight="1" x14ac:dyDescent="0.2"/>
    <row r="167" spans="1:10" ht="12.75" customHeight="1" x14ac:dyDescent="0.2"/>
    <row r="168" spans="1:10" ht="12.75" customHeight="1" x14ac:dyDescent="0.2"/>
    <row r="169" spans="1:10" ht="12.75" customHeight="1" x14ac:dyDescent="0.2"/>
    <row r="170" spans="1:10" ht="12.75" customHeight="1" x14ac:dyDescent="0.2"/>
    <row r="171" spans="1:10" ht="12.75" customHeight="1" x14ac:dyDescent="0.2"/>
    <row r="172" spans="1:10" ht="12.75" customHeight="1" x14ac:dyDescent="0.2"/>
    <row r="173" spans="1:10" ht="12.75" customHeight="1" x14ac:dyDescent="0.2"/>
    <row r="174" spans="1:10" ht="12.75" customHeight="1" x14ac:dyDescent="0.2"/>
    <row r="175" spans="1:10" ht="12.75" customHeight="1" x14ac:dyDescent="0.2"/>
    <row r="176" spans="1:10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</sheetData>
  <mergeCells count="4">
    <mergeCell ref="A163:J163"/>
    <mergeCell ref="A1:J2"/>
    <mergeCell ref="A159:J159"/>
    <mergeCell ref="A160:F160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7"/>
  <sheetViews>
    <sheetView zoomScale="145" zoomScaleNormal="145" workbookViewId="0">
      <selection activeCell="B4" sqref="B4"/>
    </sheetView>
  </sheetViews>
  <sheetFormatPr defaultColWidth="12.5703125" defaultRowHeight="15" customHeight="1" x14ac:dyDescent="0.2"/>
  <cols>
    <col min="1" max="1" width="54.42578125" bestFit="1" customWidth="1"/>
    <col min="2" max="2" width="14.28515625" customWidth="1"/>
    <col min="3" max="22" width="8" customWidth="1"/>
  </cols>
  <sheetData>
    <row r="1" spans="1:2" ht="15" customHeight="1" x14ac:dyDescent="0.25">
      <c r="A1" s="82" t="s">
        <v>164</v>
      </c>
      <c r="B1" s="83"/>
    </row>
    <row r="2" spans="1:2" ht="18" customHeight="1" x14ac:dyDescent="0.25">
      <c r="A2" s="23" t="s">
        <v>180</v>
      </c>
      <c r="B2" s="20" t="s">
        <v>181</v>
      </c>
    </row>
    <row r="3" spans="1:2" ht="12.75" customHeight="1" x14ac:dyDescent="0.2">
      <c r="A3" s="21" t="s">
        <v>165</v>
      </c>
      <c r="B3" s="27">
        <f>COUNTIFS(CONTROLE!$D$4:$D$158,"&gt;=01/04/2026",CONTROLE!$C$4:$C$158,"&lt;=30/04/2026")</f>
        <v>155</v>
      </c>
    </row>
    <row r="4" spans="1:2" ht="12.75" customHeight="1" x14ac:dyDescent="0.2">
      <c r="A4" s="21" t="s">
        <v>166</v>
      </c>
      <c r="B4" s="27">
        <f>COUNTIFS(CONTROLE!$D$4:$D$158,"&gt;=01/04/2026",CONTROLE!$C$4:$C$158,"&lt;=30/04/2026")</f>
        <v>155</v>
      </c>
    </row>
    <row r="5" spans="1:2" ht="12.75" customHeight="1" x14ac:dyDescent="0.2">
      <c r="A5" s="21" t="s">
        <v>167</v>
      </c>
      <c r="B5" s="27">
        <f>COUNTIFS(CONTROLE!$D$4:$D$158,"&gt;=01/04/2026",CONTROLE!$C$4:$C$158,"&lt;=30/04/2026")</f>
        <v>155</v>
      </c>
    </row>
    <row r="6" spans="1:2" ht="12.75" customHeight="1" x14ac:dyDescent="0.2">
      <c r="A6" s="21" t="s">
        <v>168</v>
      </c>
      <c r="B6" s="27">
        <f>COUNTIFS(CONTROLE!$D$4:$D$158,"&gt;=01/04/2026",CONTROLE!$C$4:$C$158,"&lt;=30/04/2026")</f>
        <v>155</v>
      </c>
    </row>
    <row r="7" spans="1:2" ht="12.75" customHeight="1" x14ac:dyDescent="0.2">
      <c r="A7" s="21" t="s">
        <v>169</v>
      </c>
      <c r="B7" s="27">
        <f>COUNTIFS(CONTROLE!$D$4:$D$158,"&gt;=01/04/2026",CONTROLE!$C$4:$C$158,"&lt;=30/04/2026")</f>
        <v>155</v>
      </c>
    </row>
    <row r="8" spans="1:2" ht="12.75" customHeight="1" x14ac:dyDescent="0.2">
      <c r="A8" s="21" t="s">
        <v>170</v>
      </c>
      <c r="B8" s="27">
        <f>COUNTIFS(CONTROLE!$D$4:$D$158,"&gt;=01/04/2026",CONTROLE!$C$4:$C$158,"&lt;=30/04/2026")</f>
        <v>155</v>
      </c>
    </row>
    <row r="9" spans="1:2" ht="12.75" customHeight="1" x14ac:dyDescent="0.2">
      <c r="A9" s="21" t="s">
        <v>171</v>
      </c>
      <c r="B9" s="27">
        <f>COUNTIFS(CONTROLE!$D$4:$D$158,"&gt;=01/04/2026",CONTROLE!$C$4:$C$158,"&lt;=30/04/2026")</f>
        <v>155</v>
      </c>
    </row>
    <row r="10" spans="1:2" ht="12.75" customHeight="1" x14ac:dyDescent="0.2">
      <c r="A10" s="22" t="s">
        <v>172</v>
      </c>
      <c r="B10" s="27">
        <f>COUNTIFS(CONTROLE!$D$4:$D$158,"&gt;=01/04/2026",CONTROLE!$C$4:$C$158,"&lt;=30/04/2026")</f>
        <v>155</v>
      </c>
    </row>
    <row r="11" spans="1:2" ht="12.75" customHeight="1" x14ac:dyDescent="0.2">
      <c r="A11" s="84"/>
      <c r="B11" s="85"/>
    </row>
    <row r="12" spans="1:2" ht="12.75" customHeight="1" x14ac:dyDescent="0.2">
      <c r="A12" s="77" t="s">
        <v>173</v>
      </c>
      <c r="B12" s="79"/>
    </row>
    <row r="13" spans="1:2" ht="12.75" customHeight="1" x14ac:dyDescent="0.2">
      <c r="A13" s="14" t="s">
        <v>177</v>
      </c>
      <c r="B13" s="24" t="s">
        <v>176</v>
      </c>
    </row>
    <row r="14" spans="1:2" ht="12.75" customHeight="1" x14ac:dyDescent="0.2">
      <c r="A14" s="15" t="s">
        <v>16</v>
      </c>
      <c r="B14" s="58">
        <v>350.36</v>
      </c>
    </row>
    <row r="15" spans="1:2" ht="12.75" customHeight="1" x14ac:dyDescent="0.2">
      <c r="A15" s="15" t="s">
        <v>19</v>
      </c>
      <c r="B15" s="59">
        <v>460.37</v>
      </c>
    </row>
    <row r="16" spans="1:2" ht="12.75" customHeight="1" x14ac:dyDescent="0.2">
      <c r="A16" s="15" t="s">
        <v>22</v>
      </c>
      <c r="B16" s="59">
        <v>406.96</v>
      </c>
    </row>
    <row r="17" spans="1:2" ht="12.75" customHeight="1" x14ac:dyDescent="0.2">
      <c r="A17" s="15" t="s">
        <v>28</v>
      </c>
      <c r="B17" s="59">
        <v>510</v>
      </c>
    </row>
    <row r="18" spans="1:2" ht="12.75" customHeight="1" x14ac:dyDescent="0.2">
      <c r="A18" s="15" t="s">
        <v>25</v>
      </c>
      <c r="B18" s="59">
        <v>1200</v>
      </c>
    </row>
    <row r="19" spans="1:2" ht="12.75" customHeight="1" x14ac:dyDescent="0.2">
      <c r="A19" s="18" t="s">
        <v>13</v>
      </c>
      <c r="B19" s="60">
        <v>1881.9</v>
      </c>
    </row>
    <row r="20" spans="1:2" ht="12.75" customHeight="1" x14ac:dyDescent="0.2">
      <c r="A20" s="80"/>
      <c r="B20" s="81"/>
    </row>
    <row r="21" spans="1:2" ht="12.75" customHeight="1" x14ac:dyDescent="0.2">
      <c r="A21" s="77" t="s">
        <v>179</v>
      </c>
      <c r="B21" s="78"/>
    </row>
    <row r="22" spans="1:2" ht="12.75" customHeight="1" x14ac:dyDescent="0.2">
      <c r="A22" s="25" t="s">
        <v>177</v>
      </c>
      <c r="B22" s="26" t="s">
        <v>178</v>
      </c>
    </row>
    <row r="23" spans="1:2" ht="12.75" customHeight="1" x14ac:dyDescent="0.2">
      <c r="A23" s="15" t="s">
        <v>16</v>
      </c>
      <c r="B23" s="16"/>
    </row>
    <row r="24" spans="1:2" ht="12.75" customHeight="1" x14ac:dyDescent="0.2">
      <c r="A24" s="15" t="s">
        <v>19</v>
      </c>
      <c r="B24" s="17"/>
    </row>
    <row r="25" spans="1:2" ht="12.75" customHeight="1" x14ac:dyDescent="0.2">
      <c r="A25" s="15" t="s">
        <v>22</v>
      </c>
      <c r="B25" s="17"/>
    </row>
    <row r="26" spans="1:2" ht="12.75" customHeight="1" x14ac:dyDescent="0.2">
      <c r="A26" s="15" t="s">
        <v>28</v>
      </c>
      <c r="B26" s="17"/>
    </row>
    <row r="27" spans="1:2" ht="12.75" customHeight="1" x14ac:dyDescent="0.2">
      <c r="A27" s="15" t="s">
        <v>25</v>
      </c>
      <c r="B27" s="17"/>
    </row>
    <row r="28" spans="1:2" ht="12.75" customHeight="1" x14ac:dyDescent="0.2">
      <c r="A28" s="18" t="s">
        <v>13</v>
      </c>
      <c r="B28" s="19"/>
    </row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</sheetData>
  <mergeCells count="5">
    <mergeCell ref="A21:B21"/>
    <mergeCell ref="A12:B12"/>
    <mergeCell ref="A20:B20"/>
    <mergeCell ref="A1:B1"/>
    <mergeCell ref="A11:B11"/>
  </mergeCells>
  <pageMargins left="0.7" right="0.7" top="0.75" bottom="0.75" header="0" footer="0"/>
  <pageSetup orientation="landscape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A5CC-86F1-47DC-9ACB-4E2BFDE3A57F}">
  <dimension ref="A1:I7"/>
  <sheetViews>
    <sheetView tabSelected="1" zoomScale="220" zoomScaleNormal="220" workbookViewId="0">
      <selection activeCell="H18" sqref="H18"/>
    </sheetView>
  </sheetViews>
  <sheetFormatPr defaultRowHeight="12.75" x14ac:dyDescent="0.2"/>
  <cols>
    <col min="2" max="2" width="9.42578125" bestFit="1" customWidth="1"/>
    <col min="4" max="4" width="9.42578125" bestFit="1" customWidth="1"/>
  </cols>
  <sheetData>
    <row r="1" spans="1:9" x14ac:dyDescent="0.2">
      <c r="A1" s="87" t="s">
        <v>183</v>
      </c>
      <c r="B1" s="87"/>
      <c r="C1" s="87"/>
      <c r="D1" s="87"/>
      <c r="E1" s="87"/>
      <c r="F1" s="87"/>
      <c r="G1" s="87"/>
      <c r="H1" s="87"/>
      <c r="I1" s="87"/>
    </row>
    <row r="4" spans="1:9" x14ac:dyDescent="0.2">
      <c r="B4">
        <f>ESTATÍSTICAS!B3</f>
        <v>155</v>
      </c>
      <c r="D4" s="88">
        <f>Tabela2[[#This Row],[Valores]]</f>
        <v>155</v>
      </c>
      <c r="F4">
        <f>ESTATÍSTICAS!B5</f>
        <v>155</v>
      </c>
      <c r="H4">
        <f>ESTATÍSTICAS!B6</f>
        <v>155</v>
      </c>
    </row>
    <row r="7" spans="1:9" x14ac:dyDescent="0.2">
      <c r="B7" s="88">
        <f>Tabela2[[#This Row],[Valores]]</f>
        <v>155</v>
      </c>
      <c r="D7">
        <f>ESTATÍSTICAS!B8</f>
        <v>155</v>
      </c>
      <c r="F7">
        <f>ESTATÍSTICAS!B9</f>
        <v>155</v>
      </c>
      <c r="H7">
        <f>ESTATÍSTICAS!B10</f>
        <v>155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sqref="A1:B1"/>
    </sheetView>
  </sheetViews>
  <sheetFormatPr defaultColWidth="12.5703125" defaultRowHeight="15" customHeight="1" x14ac:dyDescent="0.2"/>
  <cols>
    <col min="1" max="1" width="21.85546875" customWidth="1"/>
    <col min="2" max="2" width="15.85546875" customWidth="1"/>
    <col min="3" max="3" width="12" customWidth="1"/>
    <col min="4" max="26" width="8" customWidth="1"/>
  </cols>
  <sheetData>
    <row r="1" spans="1:3" ht="18" customHeight="1" x14ac:dyDescent="0.25">
      <c r="A1" s="86" t="s">
        <v>174</v>
      </c>
      <c r="B1" s="74"/>
    </row>
    <row r="2" spans="1:3" ht="18" customHeight="1" x14ac:dyDescent="0.25">
      <c r="A2" s="9" t="s">
        <v>2</v>
      </c>
      <c r="B2" s="9" t="s">
        <v>175</v>
      </c>
    </row>
    <row r="3" spans="1:3" ht="18" customHeight="1" x14ac:dyDescent="0.25">
      <c r="A3" s="10" t="s">
        <v>16</v>
      </c>
      <c r="B3" s="11">
        <v>90</v>
      </c>
      <c r="C3" s="12"/>
    </row>
    <row r="4" spans="1:3" ht="18" customHeight="1" x14ac:dyDescent="0.25">
      <c r="A4" s="10" t="s">
        <v>19</v>
      </c>
      <c r="B4" s="11">
        <v>110</v>
      </c>
    </row>
    <row r="5" spans="1:3" ht="18" customHeight="1" x14ac:dyDescent="0.25">
      <c r="A5" s="10" t="s">
        <v>22</v>
      </c>
      <c r="B5" s="11">
        <v>120</v>
      </c>
    </row>
    <row r="6" spans="1:3" ht="18" customHeight="1" x14ac:dyDescent="0.25">
      <c r="A6" s="10" t="s">
        <v>28</v>
      </c>
      <c r="B6" s="11">
        <v>170</v>
      </c>
    </row>
    <row r="7" spans="1:3" ht="18" customHeight="1" x14ac:dyDescent="0.25">
      <c r="A7" s="10" t="s">
        <v>25</v>
      </c>
      <c r="B7" s="11">
        <v>240</v>
      </c>
      <c r="C7" s="12"/>
    </row>
    <row r="8" spans="1:3" ht="18" customHeight="1" x14ac:dyDescent="0.25">
      <c r="A8" s="10" t="s">
        <v>13</v>
      </c>
      <c r="B8" s="11">
        <v>380</v>
      </c>
      <c r="C8" s="12"/>
    </row>
    <row r="9" spans="1:3" ht="12.75" customHeight="1" x14ac:dyDescent="0.2"/>
    <row r="10" spans="1:3" ht="12.75" customHeight="1" x14ac:dyDescent="0.2"/>
    <row r="11" spans="1:3" ht="12.75" customHeight="1" x14ac:dyDescent="0.2"/>
    <row r="12" spans="1:3" ht="12.75" customHeight="1" x14ac:dyDescent="0.2"/>
    <row r="13" spans="1:3" ht="12.75" customHeight="1" x14ac:dyDescent="0.2"/>
    <row r="14" spans="1:3" ht="12.75" customHeight="1" x14ac:dyDescent="0.2"/>
    <row r="15" spans="1:3" ht="12.75" customHeight="1" x14ac:dyDescent="0.2"/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ESTATÍSTICAS</vt:lpstr>
      <vt:lpstr>Planilha1</vt:lpstr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ARQUELAU</dc:creator>
  <cp:lastModifiedBy>HENRIQUE FRAGOSO FAGUNDES</cp:lastModifiedBy>
  <dcterms:created xsi:type="dcterms:W3CDTF">2006-06-23T18:03:10Z</dcterms:created>
  <dcterms:modified xsi:type="dcterms:W3CDTF">2026-06-01T12:55:13Z</dcterms:modified>
</cp:coreProperties>
</file>