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1.xml" ContentType="application/vnd.openxmlformats-officedocument.spreadsheetml.comments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Prof Irlandio\Tecnologia, Informação e Comunicação I\"/>
    </mc:Choice>
  </mc:AlternateContent>
  <xr:revisionPtr revIDLastSave="0" documentId="13_ncr:1_{1244D149-0DAD-46F8-BB98-B2E8E1115E82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CONCEITOS" sheetId="1" r:id="rId1"/>
    <sheet name="EXE0001" sheetId="2" state="hidden" r:id="rId2"/>
    <sheet name="EXE0001-1" sheetId="3" state="hidden" r:id="rId3"/>
    <sheet name="EXE0002" sheetId="4" state="hidden" r:id="rId4"/>
    <sheet name="EXE0003" sheetId="5" state="hidden" r:id="rId5"/>
    <sheet name="EXE0004" sheetId="6" state="hidden" r:id="rId6"/>
    <sheet name="EXE0005" sheetId="7" r:id="rId7"/>
    <sheet name="INSTRUÇÕES" sheetId="12" r:id="rId8"/>
    <sheet name="EXE0006" sheetId="8" state="hidden" r:id="rId9"/>
    <sheet name="EXE0007" sheetId="9" state="hidden" r:id="rId10"/>
    <sheet name="Planilha1" sheetId="10" state="hidden" r:id="rId11"/>
    <sheet name="EXE0008" sheetId="11" state="hidden" r:id="rId12"/>
  </sheets>
  <definedNames>
    <definedName name="_xlnm._FilterDatabase" localSheetId="6" hidden="1">'EXE0005'!$A$4:$G$35</definedName>
    <definedName name="água">'EXE0008'!$A$21:$E$21</definedName>
    <definedName name="Aluguel">'EXE0008'!$A$25:$E$25</definedName>
    <definedName name="Celesc">'EXE0008'!$A$19:$E$19</definedName>
    <definedName name="Comissões">'EXE0008'!$A$11:$E$11</definedName>
    <definedName name="Condomínio">'EXE0008'!$A$26:$E$26</definedName>
    <definedName name="Contr._de_Manutenção">'EXE0008'!$A$23:$E$23</definedName>
    <definedName name="Contribuição_Líquida">'EXE0008'!$A$40:$E$40</definedName>
    <definedName name="DEPTO">'EXE0007'!$B$5:$B$47</definedName>
    <definedName name="Faturamento_Bruto">'EXE0008'!$A$8:$E$8</definedName>
    <definedName name="Faturamento_Líquido">'EXE0008'!$A$13:$E$13</definedName>
    <definedName name="Folha_de_Pagamento">'EXE0008'!$A$17:$E$17</definedName>
    <definedName name="Hospedagem">'EXE0008'!$A$36:$E$36</definedName>
    <definedName name="Impostos">'EXE0008'!$A$10:$E$10</definedName>
    <definedName name="Impostos___Folha">'EXE0008'!$A$18:$E$18</definedName>
    <definedName name="Instrutores">'EXE0008'!$A$32:$E$32</definedName>
    <definedName name="Lucro_Gerencial">'EXE0008'!$A$42:$E$42</definedName>
    <definedName name="Material_de_Escritório">'EXE0008'!$A$22:$E$22</definedName>
    <definedName name="Material_de_Limpeza">'EXE0008'!$A$24:$E$24</definedName>
    <definedName name="Material_Didático">'EXE0008'!$A$33:$E$33</definedName>
    <definedName name="NOME">'EXE0007'!$A$5:$A$47</definedName>
    <definedName name="Porc_do_Lucro_Gerencial">'EXE0008'!$A$44:$E$44</definedName>
    <definedName name="Telefone">'EXE0008'!$A$20:$E$20</definedName>
    <definedName name="Total_Gastos_Fixos">'EXE0008'!$A$28:$E$28</definedName>
    <definedName name="Total_Gastos_Variáveis">'EXE0008'!$A$38:$E$38</definedName>
    <definedName name="Transporte_Aéreo">'EXE0008'!$A$35:$E$35</definedName>
    <definedName name="Transporte_Terrestre">'EXE0008'!$A$34:$E$34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5" roundtripDataChecksum="6teOobDV1k3cDK7xU6+4GSKjmjpk2CRPwpPQzEJhilo="/>
    </ext>
  </extLst>
</workbook>
</file>

<file path=xl/calcChain.xml><?xml version="1.0" encoding="utf-8"?>
<calcChain xmlns="http://schemas.openxmlformats.org/spreadsheetml/2006/main">
  <c r="G5" i="7" l="1"/>
  <c r="G6" i="7"/>
  <c r="G7" i="7"/>
  <c r="G8" i="7"/>
  <c r="G20" i="7"/>
  <c r="G21" i="7"/>
  <c r="G9" i="7"/>
  <c r="G22" i="7"/>
  <c r="G23" i="7"/>
  <c r="G10" i="7"/>
  <c r="G15" i="7"/>
  <c r="G11" i="7"/>
  <c r="G12" i="7"/>
  <c r="G16" i="7"/>
  <c r="G13" i="7"/>
  <c r="G25" i="7"/>
  <c r="G26" i="7"/>
  <c r="G14" i="7"/>
  <c r="G17" i="7"/>
  <c r="G24" i="7"/>
  <c r="G18" i="7"/>
  <c r="G19" i="7"/>
  <c r="G6" i="6"/>
  <c r="G7" i="6"/>
  <c r="G8" i="6"/>
  <c r="G9" i="6"/>
  <c r="G10" i="6"/>
  <c r="G11" i="6"/>
  <c r="G12" i="6"/>
  <c r="G13" i="6"/>
  <c r="G14" i="6"/>
  <c r="G5" i="6"/>
  <c r="F6" i="6"/>
  <c r="F7" i="6"/>
  <c r="F8" i="6"/>
  <c r="F9" i="6"/>
  <c r="F10" i="6"/>
  <c r="F11" i="6"/>
  <c r="F12" i="6"/>
  <c r="F13" i="6"/>
  <c r="F14" i="6"/>
  <c r="F5" i="6"/>
  <c r="G16" i="4"/>
  <c r="C16" i="4"/>
  <c r="D16" i="4"/>
  <c r="E16" i="4"/>
  <c r="F16" i="4"/>
  <c r="B16" i="4"/>
  <c r="G5" i="4"/>
  <c r="G6" i="4"/>
  <c r="G7" i="4"/>
  <c r="G8" i="4"/>
  <c r="G9" i="4"/>
  <c r="G10" i="4"/>
  <c r="G11" i="4"/>
  <c r="G12" i="4"/>
  <c r="G13" i="4"/>
  <c r="G14" i="4"/>
  <c r="G15" i="4"/>
  <c r="G4" i="4"/>
  <c r="E11" i="11"/>
  <c r="D11" i="11"/>
  <c r="C11" i="11"/>
  <c r="B11" i="11"/>
  <c r="E10" i="11"/>
  <c r="D10" i="11"/>
  <c r="C10" i="11"/>
  <c r="B10" i="11"/>
  <c r="C5" i="10" a="1"/>
  <c r="C5" i="10" s="1"/>
  <c r="C6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4" authorId="0" shapeId="0" xr:uid="{00000000-0006-0000-0800-000001000000}">
      <text>
        <r>
          <rPr>
            <sz val="10"/>
            <color rgb="FF000000"/>
            <rFont val="Arial"/>
            <family val="2"/>
            <scheme val="minor"/>
          </rPr>
          <t>IRLÂNDIO    (2026-01-30 04:05:36)
Multiplicar a Quantidade de dias pela quantidade de Horas: Dias de Faltas X 08 horas</t>
        </r>
      </text>
    </comment>
    <comment ref="H4" authorId="0" shapeId="0" xr:uid="{00000000-0006-0000-0800-000002000000}">
      <text>
        <r>
          <rPr>
            <sz val="10"/>
            <color rgb="FF000000"/>
            <rFont val="Arial"/>
            <family val="2"/>
            <scheme val="minor"/>
          </rPr>
          <t>IRLÂNDIO    (2026-01-30 04:05:36)
Calcular o desconto em razão da quantidade de horas faltantes, i.e: a quantidade de horas faltantes X (salário base / hora base)</t>
        </r>
      </text>
    </comment>
    <comment ref="I4" authorId="0" shapeId="0" xr:uid="{00000000-0006-0000-0800-000003000000}">
      <text>
        <r>
          <rPr>
            <sz val="10"/>
            <color rgb="FF000000"/>
            <rFont val="Arial"/>
            <family val="2"/>
            <scheme val="minor"/>
          </rPr>
          <t>======
IRLÂNDIO    (2026-01-30 04:05:36)
o Salário Base deduzido dos descontos, i.e:
(Salário Base - Descontos)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+nzTQvgjj/tOGxLQPLT96bcpwBg=="/>
    </ext>
  </extLst>
</comments>
</file>

<file path=xl/sharedStrings.xml><?xml version="1.0" encoding="utf-8"?>
<sst xmlns="http://schemas.openxmlformats.org/spreadsheetml/2006/main" count="574" uniqueCount="373">
  <si>
    <t>INTRODUÇÃO</t>
  </si>
  <si>
    <t>Pasta</t>
  </si>
  <si>
    <t>Planilha</t>
  </si>
  <si>
    <t>Célula</t>
  </si>
  <si>
    <t>Endereço de célula</t>
  </si>
  <si>
    <t>Operadores matemáticos</t>
  </si>
  <si>
    <t>Conteúdo de Células</t>
  </si>
  <si>
    <t>Operações com Linhas e Colunas</t>
  </si>
  <si>
    <t>1. Interface do Excel</t>
  </si>
  <si>
    <t>Seleção de Células</t>
  </si>
  <si>
    <t>Edicão de Células</t>
  </si>
  <si>
    <t>Ao abrir o Excel, você encontrará os seguintes elementos:</t>
  </si>
  <si>
    <t xml:space="preserve">O Microsoft Excel </t>
  </si>
  <si>
    <t>É um software de planilhas eletrônicas utilizado para organizar, calcular, analisar e visualizar dados. Ele é amplamente usado em empresas, escolas e no dia a dia para controle financeiro, relatórios, cadastros, gráficos e análises.</t>
  </si>
  <si>
    <t>1.1 Pasta de Trabalho</t>
  </si>
  <si>
    <t>Para que o Excel é utilizado?</t>
  </si>
  <si>
    <t>Controle de gastos pessoais e empresariais</t>
  </si>
  <si>
    <t>Arquivo do Excel (ex.: controle.xlsx)</t>
  </si>
  <si>
    <t>Organização de listas e cadastros</t>
  </si>
  <si>
    <t>Cálculos matemáticos e financeiros</t>
  </si>
  <si>
    <t>Pode conter várias planilhas</t>
  </si>
  <si>
    <t>Criação de tabelas e relatórios</t>
  </si>
  <si>
    <t>1.2 Planilha</t>
  </si>
  <si>
    <t>Geração de gráficos</t>
  </si>
  <si>
    <t>Análise de dados e tomada de decisões</t>
  </si>
  <si>
    <t>Área formada por linhas e colunas</t>
  </si>
  <si>
    <t>é o arquivo do Excel contendo várias planilhas</t>
  </si>
  <si>
    <t>Cada interseção forma uma célula</t>
  </si>
  <si>
    <t>é o documento do Excel (guias) contendo várias colunas e linhas</t>
  </si>
  <si>
    <t>(1-255)</t>
  </si>
  <si>
    <t>1.3 Linhas, Colunas e Células</t>
  </si>
  <si>
    <t>é o encontro de uma coluna com uma linha</t>
  </si>
  <si>
    <t>Colunas: identificadas por letras (A, B, C...)</t>
  </si>
  <si>
    <t xml:space="preserve">O excel  possui   </t>
  </si>
  <si>
    <t>16.384  colunas</t>
  </si>
  <si>
    <t>Linhas: identificadas por números (1, 2, 3...)</t>
  </si>
  <si>
    <t>1.048.576 linhas</t>
  </si>
  <si>
    <t>Célula: combinação de coluna e linha (ex.: A1, B3)</t>
  </si>
  <si>
    <t>1.4 Barra de Fórmulas</t>
  </si>
  <si>
    <t>Endereço de Célula</t>
  </si>
  <si>
    <t xml:space="preserve"> é formado pela letra da coluna e o número da linha</t>
  </si>
  <si>
    <t>Local onde são inseridos ou visualizados dados e fórmulas</t>
  </si>
  <si>
    <t>A 51</t>
  </si>
  <si>
    <t>1.5 Faixa de Opções (Ribbon)</t>
  </si>
  <si>
    <t>Operadores Matemáticos no Excel</t>
  </si>
  <si>
    <t>^</t>
  </si>
  <si>
    <t>Potenciação</t>
  </si>
  <si>
    <t>Principais abas:</t>
  </si>
  <si>
    <t xml:space="preserve">* </t>
  </si>
  <si>
    <t>Multiplicação</t>
  </si>
  <si>
    <t>/</t>
  </si>
  <si>
    <t>Divisão</t>
  </si>
  <si>
    <t>Página Inicial</t>
  </si>
  <si>
    <t>+</t>
  </si>
  <si>
    <t>Adição</t>
  </si>
  <si>
    <t>-</t>
  </si>
  <si>
    <t>Subtração</t>
  </si>
  <si>
    <t>Inserir</t>
  </si>
  <si>
    <t>Layout da Página</t>
  </si>
  <si>
    <t>Conteúdo de células</t>
  </si>
  <si>
    <t>Textos</t>
  </si>
  <si>
    <t>Conjunto de caracteres</t>
  </si>
  <si>
    <r>
      <rPr>
        <sz val="10"/>
        <color theme="1"/>
        <rFont val="Arial"/>
        <family val="2"/>
      </rPr>
      <t xml:space="preserve">Ex: </t>
    </r>
    <r>
      <rPr>
        <b/>
        <sz val="10"/>
        <color theme="1"/>
        <rFont val="Arial"/>
        <family val="2"/>
      </rPr>
      <t>Nome</t>
    </r>
  </si>
  <si>
    <t>Fórmulas</t>
  </si>
  <si>
    <t>Valores</t>
  </si>
  <si>
    <t>Números</t>
  </si>
  <si>
    <r>
      <rPr>
        <sz val="10"/>
        <color theme="1"/>
        <rFont val="Arial"/>
        <family val="2"/>
      </rPr>
      <t xml:space="preserve">Ex: </t>
    </r>
    <r>
      <rPr>
        <b/>
        <sz val="10"/>
        <color theme="1"/>
        <rFont val="Arial"/>
        <family val="2"/>
      </rPr>
      <t>58</t>
    </r>
  </si>
  <si>
    <r>
      <rPr>
        <sz val="10"/>
        <color theme="1"/>
        <rFont val="Arial"/>
        <family val="2"/>
      </rPr>
      <t xml:space="preserve">Ex: </t>
    </r>
    <r>
      <rPr>
        <b/>
        <sz val="10"/>
        <color theme="1"/>
        <rFont val="Arial"/>
        <family val="2"/>
      </rPr>
      <t>=A1+C1</t>
    </r>
  </si>
  <si>
    <t>Obs: Toda fórmula e função tem o sinal de igual na frente</t>
  </si>
  <si>
    <t>Dados</t>
  </si>
  <si>
    <t>Funções</t>
  </si>
  <si>
    <r>
      <rPr>
        <sz val="10"/>
        <color theme="1"/>
        <rFont val="Arial"/>
        <family val="2"/>
      </rPr>
      <t xml:space="preserve">Ex: </t>
    </r>
    <r>
      <rPr>
        <b/>
        <sz val="10"/>
        <color theme="1"/>
        <rFont val="Arial"/>
        <family val="2"/>
      </rPr>
      <t>=SOMA(A1:B1)</t>
    </r>
  </si>
  <si>
    <t>Revisão</t>
  </si>
  <si>
    <t>Para Apagar conteúdo de célula:</t>
  </si>
  <si>
    <t>Clicar na célula e apertar a tecla Delete</t>
  </si>
  <si>
    <t>Exibir</t>
  </si>
  <si>
    <t>Para Corrigir sem apagar tudo:</t>
  </si>
  <si>
    <t>Clicar na célula e apertar a tecla F2</t>
  </si>
  <si>
    <t>2. Tipos de Dados no Excel</t>
  </si>
  <si>
    <t>Para Inserir Linhas:</t>
  </si>
  <si>
    <r>
      <rPr>
        <sz val="10"/>
        <color theme="1"/>
        <rFont val="Arial"/>
        <family val="2"/>
      </rPr>
      <t xml:space="preserve">Clicar no local que deseja inserir e clicar no </t>
    </r>
    <r>
      <rPr>
        <b/>
        <sz val="10"/>
        <color theme="1"/>
        <rFont val="Arial"/>
        <family val="2"/>
      </rPr>
      <t>Menu</t>
    </r>
    <r>
      <rPr>
        <sz val="10"/>
        <color theme="1"/>
        <rFont val="Arial"/>
        <family val="2"/>
      </rPr>
      <t xml:space="preserve"> Inserir opção </t>
    </r>
    <r>
      <rPr>
        <b/>
        <sz val="10"/>
        <color theme="1"/>
        <rFont val="Arial"/>
        <family val="2"/>
      </rPr>
      <t>Linhas</t>
    </r>
  </si>
  <si>
    <t>Para Inserir Colunas:</t>
  </si>
  <si>
    <r>
      <rPr>
        <sz val="10"/>
        <color theme="1"/>
        <rFont val="Arial"/>
        <family val="2"/>
      </rPr>
      <t xml:space="preserve">Clicar no local que deseja inserir e clicar no </t>
    </r>
    <r>
      <rPr>
        <b/>
        <sz val="10"/>
        <color theme="1"/>
        <rFont val="Arial"/>
        <family val="2"/>
      </rPr>
      <t>Menu</t>
    </r>
    <r>
      <rPr>
        <sz val="10"/>
        <color theme="1"/>
        <rFont val="Arial"/>
        <family val="2"/>
      </rPr>
      <t xml:space="preserve"> Inserir opção </t>
    </r>
    <r>
      <rPr>
        <b/>
        <sz val="10"/>
        <color theme="1"/>
        <rFont val="Arial"/>
        <family val="2"/>
      </rPr>
      <t>Colunas</t>
    </r>
  </si>
  <si>
    <t>Em uma célula do Excel podemos inserir:</t>
  </si>
  <si>
    <t>Para Inserir Planilhas:</t>
  </si>
  <si>
    <r>
      <rPr>
        <sz val="10"/>
        <color theme="1"/>
        <rFont val="Arial"/>
        <family val="2"/>
      </rPr>
      <t xml:space="preserve">Clicar no local que deseja inserir e clicar no </t>
    </r>
    <r>
      <rPr>
        <b/>
        <sz val="10"/>
        <color theme="1"/>
        <rFont val="Arial"/>
        <family val="2"/>
      </rPr>
      <t>Menu</t>
    </r>
    <r>
      <rPr>
        <sz val="10"/>
        <color theme="1"/>
        <rFont val="Arial"/>
        <family val="2"/>
      </rPr>
      <t xml:space="preserve"> Inserir opção </t>
    </r>
    <r>
      <rPr>
        <b/>
        <sz val="10"/>
        <color theme="1"/>
        <rFont val="Arial"/>
        <family val="2"/>
      </rPr>
      <t>Planilha</t>
    </r>
  </si>
  <si>
    <t>Para Excluir Linhas:</t>
  </si>
  <si>
    <r>
      <rPr>
        <sz val="10"/>
        <color theme="1"/>
        <rFont val="Arial"/>
        <family val="2"/>
      </rPr>
      <t xml:space="preserve">Clicar no </t>
    </r>
    <r>
      <rPr>
        <b/>
        <sz val="10"/>
        <color theme="1"/>
        <rFont val="Arial"/>
        <family val="2"/>
      </rPr>
      <t>Número</t>
    </r>
    <r>
      <rPr>
        <sz val="10"/>
        <color theme="1"/>
        <rFont val="Arial"/>
        <family val="2"/>
      </rPr>
      <t xml:space="preserve"> da Linha (cabeçalho da linha) e Clicar em </t>
    </r>
    <r>
      <rPr>
        <b/>
        <sz val="10"/>
        <color theme="1"/>
        <rFont val="Arial"/>
        <family val="2"/>
      </rPr>
      <t>Editar</t>
    </r>
    <r>
      <rPr>
        <sz val="10"/>
        <color theme="1"/>
        <rFont val="Arial"/>
        <family val="2"/>
      </rPr>
      <t xml:space="preserve"> opção </t>
    </r>
    <r>
      <rPr>
        <b/>
        <sz val="10"/>
        <color theme="1"/>
        <rFont val="Arial"/>
        <family val="2"/>
      </rPr>
      <t>Excluir</t>
    </r>
  </si>
  <si>
    <t>Texto: nomes, descrições, categorias</t>
  </si>
  <si>
    <t>Para Excluir Colunas:</t>
  </si>
  <si>
    <r>
      <rPr>
        <sz val="10"/>
        <color theme="1"/>
        <rFont val="Arial"/>
        <family val="2"/>
      </rPr>
      <t xml:space="preserve">Clicar na </t>
    </r>
    <r>
      <rPr>
        <b/>
        <sz val="10"/>
        <color theme="1"/>
        <rFont val="Arial"/>
        <family val="2"/>
      </rPr>
      <t>Letra</t>
    </r>
    <r>
      <rPr>
        <sz val="10"/>
        <color theme="1"/>
        <rFont val="Arial"/>
        <family val="2"/>
      </rPr>
      <t xml:space="preserve"> da Coluna  (cabeçalho da coluna) e Clicar em </t>
    </r>
    <r>
      <rPr>
        <b/>
        <sz val="10"/>
        <color theme="1"/>
        <rFont val="Arial"/>
        <family val="2"/>
      </rPr>
      <t>Editar</t>
    </r>
    <r>
      <rPr>
        <sz val="10"/>
        <color theme="1"/>
        <rFont val="Arial"/>
        <family val="2"/>
      </rPr>
      <t xml:space="preserve"> opção </t>
    </r>
    <r>
      <rPr>
        <b/>
        <sz val="10"/>
        <color theme="1"/>
        <rFont val="Arial"/>
        <family val="2"/>
      </rPr>
      <t>Excluir</t>
    </r>
  </si>
  <si>
    <t>Para Excluir Planilha:</t>
  </si>
  <si>
    <r>
      <rPr>
        <sz val="10"/>
        <color theme="1"/>
        <rFont val="Arial"/>
        <family val="2"/>
      </rPr>
      <t xml:space="preserve">Clicar na </t>
    </r>
    <r>
      <rPr>
        <b/>
        <sz val="10"/>
        <color theme="1"/>
        <rFont val="Arial"/>
        <family val="2"/>
      </rPr>
      <t>Guia</t>
    </r>
    <r>
      <rPr>
        <sz val="10"/>
        <color theme="1"/>
        <rFont val="Arial"/>
        <family val="2"/>
      </rPr>
      <t xml:space="preserve"> da Planilha  e Clicar em </t>
    </r>
    <r>
      <rPr>
        <b/>
        <sz val="10"/>
        <color theme="1"/>
        <rFont val="Arial"/>
        <family val="2"/>
      </rPr>
      <t>Editar</t>
    </r>
    <r>
      <rPr>
        <sz val="10"/>
        <color theme="1"/>
        <rFont val="Arial"/>
        <family val="2"/>
      </rPr>
      <t xml:space="preserve"> opção </t>
    </r>
    <r>
      <rPr>
        <b/>
        <sz val="10"/>
        <color theme="1"/>
        <rFont val="Arial"/>
        <family val="2"/>
      </rPr>
      <t>Excluir planilha...</t>
    </r>
  </si>
  <si>
    <t>Números: valores, quantidades, preços</t>
  </si>
  <si>
    <t>Datas e horas</t>
  </si>
  <si>
    <t>Selecionar Células Juntas</t>
  </si>
  <si>
    <t>Clicar e arrastar</t>
  </si>
  <si>
    <t>Obs: A primeira célula sempre ficará transparente.</t>
  </si>
  <si>
    <t>Fórmulas: cálculos automáticos</t>
  </si>
  <si>
    <t>Selecionar Células Separadas</t>
  </si>
  <si>
    <r>
      <rPr>
        <sz val="10"/>
        <color theme="1"/>
        <rFont val="Arial"/>
        <family val="2"/>
      </rPr>
      <t xml:space="preserve">Clicar na célula inicial  e mantendo pressionado a tecla </t>
    </r>
    <r>
      <rPr>
        <b/>
        <sz val="10"/>
        <color theme="1"/>
        <rFont val="Arial"/>
        <family val="2"/>
      </rPr>
      <t>CTRL</t>
    </r>
    <r>
      <rPr>
        <sz val="10"/>
        <color theme="1"/>
        <rFont val="Arial"/>
        <family val="2"/>
      </rPr>
      <t xml:space="preserve"> e clicar nas demais células.</t>
    </r>
  </si>
  <si>
    <t>Edição de Células</t>
  </si>
  <si>
    <t>Copiar Células</t>
  </si>
  <si>
    <r>
      <rPr>
        <sz val="10"/>
        <color theme="1"/>
        <rFont val="Arial"/>
        <family val="2"/>
      </rPr>
      <t xml:space="preserve">Seleciona as células e aperta </t>
    </r>
    <r>
      <rPr>
        <b/>
        <sz val="10"/>
        <color theme="1"/>
        <rFont val="Arial"/>
        <family val="2"/>
      </rPr>
      <t>CTRL+C</t>
    </r>
    <r>
      <rPr>
        <sz val="10"/>
        <color theme="1"/>
        <rFont val="Arial"/>
        <family val="2"/>
      </rPr>
      <t xml:space="preserve">, depois clique no local destino e aperte </t>
    </r>
    <r>
      <rPr>
        <b/>
        <sz val="10"/>
        <color theme="1"/>
        <rFont val="Arial"/>
        <family val="2"/>
      </rPr>
      <t>CTRL+V</t>
    </r>
  </si>
  <si>
    <t>Mover Células</t>
  </si>
  <si>
    <r>
      <rPr>
        <sz val="10"/>
        <color theme="1"/>
        <rFont val="Arial"/>
        <family val="2"/>
      </rPr>
      <t xml:space="preserve">Seleciona as células e aperta </t>
    </r>
    <r>
      <rPr>
        <b/>
        <sz val="10"/>
        <color theme="1"/>
        <rFont val="Arial"/>
        <family val="2"/>
      </rPr>
      <t>CTRL+X</t>
    </r>
    <r>
      <rPr>
        <sz val="10"/>
        <color theme="1"/>
        <rFont val="Arial"/>
        <family val="2"/>
      </rPr>
      <t xml:space="preserve">, depois clique no local destino e aperte </t>
    </r>
    <r>
      <rPr>
        <b/>
        <sz val="10"/>
        <color theme="1"/>
        <rFont val="Arial"/>
        <family val="2"/>
      </rPr>
      <t>CTRL+V</t>
    </r>
  </si>
  <si>
    <t>Desfazer Ação</t>
  </si>
  <si>
    <r>
      <rPr>
        <sz val="10"/>
        <color theme="1"/>
        <rFont val="Arial"/>
        <family val="2"/>
      </rPr>
      <t xml:space="preserve">Apertar </t>
    </r>
    <r>
      <rPr>
        <b/>
        <sz val="10"/>
        <color theme="1"/>
        <rFont val="Arial"/>
        <family val="2"/>
      </rPr>
      <t>CTRL+Z</t>
    </r>
  </si>
  <si>
    <t>EXERCÍCIO Nº 01</t>
  </si>
  <si>
    <t>Tabela de Preços e Produtos</t>
  </si>
  <si>
    <t>Produto</t>
  </si>
  <si>
    <t>Unidade</t>
  </si>
  <si>
    <t>Preço</t>
  </si>
  <si>
    <t>Frete por Km</t>
  </si>
  <si>
    <t>Calça Leg Tam M</t>
  </si>
  <si>
    <t>Camisa MM Tam M</t>
  </si>
  <si>
    <t>Camisa MM Tam G</t>
  </si>
  <si>
    <t>Camisa ML Tam M</t>
  </si>
  <si>
    <t>Camisa ML Tam G</t>
  </si>
  <si>
    <t>Calça CorsárioTam M</t>
  </si>
  <si>
    <t>Camisa Ref. 19568 Tam M</t>
  </si>
  <si>
    <t>Camisa Ref. 19568 Tam G</t>
  </si>
  <si>
    <t>Exercício de Formatação de Tabela – Excel (Variação 3 – Corporativa)</t>
  </si>
  <si>
    <t>Após ter digitado os dados, siga os seguintes procedimentos:</t>
  </si>
  <si>
    <t>Retire as linhas de grade.</t>
  </si>
  <si>
    <t>Apague as linhas vazias antes e depois da tabela.</t>
  </si>
  <si>
    <t>Altere a fonte para Arial, tamanho 10.</t>
  </si>
  <si>
    <t>Aplique cor de fonte preta no título, com negrito e sublinhado.</t>
  </si>
  <si>
    <t>Formate os valores com Estilo Contábil (R$).</t>
  </si>
  <si>
    <t>Insira bordas:</t>
  </si>
  <si>
    <t>Contorno externo: preto espesso</t>
  </si>
  <si>
    <t>Bordas internas: preto fino.</t>
  </si>
  <si>
    <t>Centralize verticalmente a linha do título e ajuste sua altura.</t>
  </si>
  <si>
    <t>Utilize cores de fonte e preenchimento:</t>
  </si>
  <si>
    <t>Cabeçalho com preenchimento cinza médio</t>
  </si>
  <si>
    <t>Dados com fundo branco e fonte preta.</t>
  </si>
  <si>
    <t>Confecções Salim</t>
  </si>
  <si>
    <t>Relatório de Vendas por Região</t>
  </si>
  <si>
    <t>mês/Região</t>
  </si>
  <si>
    <t>Sul</t>
  </si>
  <si>
    <t>Sudeste</t>
  </si>
  <si>
    <t>Centro-Oeste</t>
  </si>
  <si>
    <t>Norte</t>
  </si>
  <si>
    <t>Nordeste</t>
  </si>
  <si>
    <t>Total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</si>
  <si>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</si>
  <si>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</si>
  <si>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</si>
  <si>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</si>
  <si>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</si>
  <si>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</si>
  <si>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</si>
  <si>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</si>
  <si>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</si>
  <si>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</si>
  <si>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</si>
  <si>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</si>
  <si>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Boletim Escolar</t>
  </si>
  <si>
    <t>Aluno(a) : Barney Rubble</t>
  </si>
  <si>
    <t>Matéria</t>
  </si>
  <si>
    <t>Nota 1</t>
  </si>
  <si>
    <t>Nota 2</t>
  </si>
  <si>
    <t>Nota 3</t>
  </si>
  <si>
    <t>Nota 4</t>
  </si>
  <si>
    <t>TOTAL</t>
  </si>
  <si>
    <t>Média Final</t>
  </si>
  <si>
    <t>Português</t>
  </si>
  <si>
    <t>Matemática</t>
  </si>
  <si>
    <t>Biologia</t>
  </si>
  <si>
    <t>Química</t>
  </si>
  <si>
    <t>Física</t>
  </si>
  <si>
    <t>História</t>
  </si>
  <si>
    <t>Geografia</t>
  </si>
  <si>
    <t>Inglês</t>
  </si>
  <si>
    <t>Ed. Física</t>
  </si>
  <si>
    <t>Informática</t>
  </si>
  <si>
    <t>Lista de Compras</t>
  </si>
  <si>
    <t>Item</t>
  </si>
  <si>
    <t>Descrição</t>
  </si>
  <si>
    <t>Seção</t>
  </si>
  <si>
    <t>Qtd</t>
  </si>
  <si>
    <t>Valor Unitário</t>
  </si>
  <si>
    <t>Valor Total</t>
  </si>
  <si>
    <t>Papel Toalha</t>
  </si>
  <si>
    <t>Limpeza</t>
  </si>
  <si>
    <t>Rolo</t>
  </si>
  <si>
    <t>Macarrão</t>
  </si>
  <si>
    <t>Alimentos</t>
  </si>
  <si>
    <t>Pacotes</t>
  </si>
  <si>
    <t>Açúcar</t>
  </si>
  <si>
    <t>Quilo</t>
  </si>
  <si>
    <t>Azeite</t>
  </si>
  <si>
    <t>Lata</t>
  </si>
  <si>
    <t>Café</t>
  </si>
  <si>
    <t>Vidro</t>
  </si>
  <si>
    <t>Alvejante</t>
  </si>
  <si>
    <t>Litros</t>
  </si>
  <si>
    <t>Detergente</t>
  </si>
  <si>
    <t>Tubos</t>
  </si>
  <si>
    <t>Feijão</t>
  </si>
  <si>
    <t>Papel Higiênico</t>
  </si>
  <si>
    <t>Rolos</t>
  </si>
  <si>
    <t>Sabonete</t>
  </si>
  <si>
    <t>Unidades</t>
  </si>
  <si>
    <t>Frango</t>
  </si>
  <si>
    <t>Refrigerante</t>
  </si>
  <si>
    <t>Bebida</t>
  </si>
  <si>
    <t>Nescau</t>
  </si>
  <si>
    <t>Latas</t>
  </si>
  <si>
    <t>Farinha</t>
  </si>
  <si>
    <t>Leite</t>
  </si>
  <si>
    <t>Caixas</t>
  </si>
  <si>
    <t>Carne Moida</t>
  </si>
  <si>
    <t>Tomate</t>
  </si>
  <si>
    <t>Verdura</t>
  </si>
  <si>
    <t>Cebola</t>
  </si>
  <si>
    <t>Biscoito</t>
  </si>
  <si>
    <t>Suco</t>
  </si>
  <si>
    <t>Shampoo</t>
  </si>
  <si>
    <t>Laranja</t>
  </si>
  <si>
    <t>Frutas</t>
  </si>
  <si>
    <t>Total com Suco</t>
  </si>
  <si>
    <t>Total sem Suco</t>
  </si>
  <si>
    <t>Diferença</t>
  </si>
  <si>
    <t>Orçamento Trimestral</t>
  </si>
  <si>
    <t>Mês</t>
  </si>
  <si>
    <t>Aumento</t>
  </si>
  <si>
    <t>Salário</t>
  </si>
  <si>
    <t>Alimentação</t>
  </si>
  <si>
    <t>Aluguel</t>
  </si>
  <si>
    <t>Saúde</t>
  </si>
  <si>
    <t>Educação</t>
  </si>
  <si>
    <t>Automóvel</t>
  </si>
  <si>
    <t>Lazer</t>
  </si>
  <si>
    <t>Total Gastos</t>
  </si>
  <si>
    <t>Saldo</t>
  </si>
  <si>
    <t>CADASTRO DE FUNCIONÁRIOS</t>
  </si>
  <si>
    <t>Horas Base:</t>
  </si>
  <si>
    <t>Nome</t>
  </si>
  <si>
    <t>Departamento</t>
  </si>
  <si>
    <t>Cargo</t>
  </si>
  <si>
    <t>Cidade</t>
  </si>
  <si>
    <t>Salário Base</t>
  </si>
  <si>
    <t>Dias de Faltas</t>
  </si>
  <si>
    <t>Quantidade de horas Faltantes (8 horas)</t>
  </si>
  <si>
    <t>Desconto</t>
  </si>
  <si>
    <t>Salário Líquido</t>
  </si>
  <si>
    <t>Alberto</t>
  </si>
  <si>
    <t>Produção</t>
  </si>
  <si>
    <t>PCP</t>
  </si>
  <si>
    <t>Blumenau</t>
  </si>
  <si>
    <t>Alexandro</t>
  </si>
  <si>
    <t>Coordenação</t>
  </si>
  <si>
    <t>Coordenador</t>
  </si>
  <si>
    <t>Gaspar</t>
  </si>
  <si>
    <t>Ana Paula</t>
  </si>
  <si>
    <t>Ilhota</t>
  </si>
  <si>
    <t>Anderson</t>
  </si>
  <si>
    <t>Talharia</t>
  </si>
  <si>
    <t>Gerente</t>
  </si>
  <si>
    <t>Andrea</t>
  </si>
  <si>
    <t>Betânia</t>
  </si>
  <si>
    <t>Carla</t>
  </si>
  <si>
    <t>Carlos</t>
  </si>
  <si>
    <t>Carmem</t>
  </si>
  <si>
    <t>Carolina</t>
  </si>
  <si>
    <t>Revisor</t>
  </si>
  <si>
    <t>Caroline</t>
  </si>
  <si>
    <t>Claudiane</t>
  </si>
  <si>
    <t>Claudionor</t>
  </si>
  <si>
    <t>Clodoaldo</t>
  </si>
  <si>
    <t>Clóvis</t>
  </si>
  <si>
    <t>Cristóvão</t>
  </si>
  <si>
    <t>Daisy</t>
  </si>
  <si>
    <t>Dulce</t>
  </si>
  <si>
    <t>Auxiliar</t>
  </si>
  <si>
    <t>Esmeralda</t>
  </si>
  <si>
    <t>Fábio</t>
  </si>
  <si>
    <t>Feliciano</t>
  </si>
  <si>
    <t>Felipe</t>
  </si>
  <si>
    <t>Godofredo</t>
  </si>
  <si>
    <t>João</t>
  </si>
  <si>
    <t>Joaquim</t>
  </si>
  <si>
    <t>José</t>
  </si>
  <si>
    <t>Joseane</t>
  </si>
  <si>
    <t>Josefa</t>
  </si>
  <si>
    <t>Joyce</t>
  </si>
  <si>
    <t>Julio</t>
  </si>
  <si>
    <t>Karina</t>
  </si>
  <si>
    <t>Letícia</t>
  </si>
  <si>
    <t>Maria</t>
  </si>
  <si>
    <t>Marli</t>
  </si>
  <si>
    <t>Mauro</t>
  </si>
  <si>
    <t>Oscar</t>
  </si>
  <si>
    <t>Paola</t>
  </si>
  <si>
    <t>Patricia</t>
  </si>
  <si>
    <t>Pietro</t>
  </si>
  <si>
    <t>Ricardo</t>
  </si>
  <si>
    <t>Ronaldo</t>
  </si>
  <si>
    <t>Ruth</t>
  </si>
  <si>
    <t>William</t>
  </si>
  <si>
    <t>FUNCIONARIO</t>
  </si>
  <si>
    <t>DEPARTAMENTO</t>
  </si>
  <si>
    <t>SALÁRIO LÍQUIDO</t>
  </si>
  <si>
    <t>ÍNDICE</t>
  </si>
  <si>
    <t>CORRESP</t>
  </si>
  <si>
    <t>SEERRO</t>
  </si>
  <si>
    <t>JUNÇÃO</t>
  </si>
  <si>
    <t>DEMOSTRATIVO DO FATURAMENTO  X  GASTOS</t>
  </si>
  <si>
    <t>1º QUADRIMESTRE DE 2025</t>
  </si>
  <si>
    <t>Jan</t>
  </si>
  <si>
    <t>Fev</t>
  </si>
  <si>
    <t>Mar</t>
  </si>
  <si>
    <t>Abr</t>
  </si>
  <si>
    <t>Faturamento Bruto</t>
  </si>
  <si>
    <t>Imp. sobre Vendas</t>
  </si>
  <si>
    <t>Com. sobre Vendas</t>
  </si>
  <si>
    <t>Faturamento Líquido</t>
  </si>
  <si>
    <t>Gastos Fixos</t>
  </si>
  <si>
    <t>Folha de Pagamento</t>
  </si>
  <si>
    <t>Impostos / Folha</t>
  </si>
  <si>
    <t>Celesc</t>
  </si>
  <si>
    <t>Telefone</t>
  </si>
  <si>
    <t>Água</t>
  </si>
  <si>
    <t>Material de Escritório</t>
  </si>
  <si>
    <t>Contr. de Manutenção</t>
  </si>
  <si>
    <t>Material de Limpeza</t>
  </si>
  <si>
    <t>Condomínio</t>
  </si>
  <si>
    <t>Gastos Variáveis</t>
  </si>
  <si>
    <t>Instrutores</t>
  </si>
  <si>
    <t>Material Didático</t>
  </si>
  <si>
    <t>Transporte Terrestre</t>
  </si>
  <si>
    <t>Transporte Aéreo</t>
  </si>
  <si>
    <t>Hospedagem</t>
  </si>
  <si>
    <t>Contribuição Líquida</t>
  </si>
  <si>
    <t>Lucro Gerencial</t>
  </si>
  <si>
    <t>% do Lucro Gerencial</t>
  </si>
  <si>
    <t>Totais por SEÇÕES</t>
  </si>
  <si>
    <t>🔹 Congelar Painéis</t>
  </si>
  <si>
    <t>Permite manter linhas ou colunas visíveis enquanto você rola a planilha</t>
  </si>
  <si>
    <t>Muito útil para manter títulos fixos (ex: cabeçalho de tabela)</t>
  </si>
  <si>
    <r>
      <t xml:space="preserve">Caminho: </t>
    </r>
    <r>
      <rPr>
        <b/>
        <sz val="10"/>
        <color rgb="FF000000"/>
        <rFont val="Arial"/>
        <family val="2"/>
        <scheme val="minor"/>
      </rPr>
      <t>Exibir → Congelar Painéis</t>
    </r>
  </si>
  <si>
    <t>Opções principais:</t>
  </si>
  <si>
    <t>Congelar Linha Superior</t>
  </si>
  <si>
    <t>Congelar Primeira Coluna</t>
  </si>
  <si>
    <t>Congelar Painéis (personalizado)</t>
  </si>
  <si>
    <t>Dica: selecione a célula abaixo/à direita do que deseja fixar</t>
  </si>
  <si>
    <t>🔹 Ordenação Personalizada</t>
  </si>
  <si>
    <t>Permite organizar dados por critérios específicos</t>
  </si>
  <si>
    <r>
      <t xml:space="preserve">Pode ordenar por </t>
    </r>
    <r>
      <rPr>
        <b/>
        <sz val="10"/>
        <color rgb="FF000000"/>
        <rFont val="Arial"/>
        <family val="2"/>
        <scheme val="minor"/>
      </rPr>
      <t>texto, número ou data</t>
    </r>
  </si>
  <si>
    <r>
      <t xml:space="preserve">Caminho: </t>
    </r>
    <r>
      <rPr>
        <b/>
        <sz val="10"/>
        <color rgb="FF000000"/>
        <rFont val="Arial"/>
        <family val="2"/>
        <scheme val="minor"/>
      </rPr>
      <t>Dados → Classificar</t>
    </r>
  </si>
  <si>
    <t>Possibilita múltiplos níveis (ex: primeiro por nome, depois por idade)</t>
  </si>
  <si>
    <t>Permite definir ordem personalizada (ex: Ativo → Inativo)</t>
  </si>
  <si>
    <t>Atenção: selecione toda a tabela para não desalinhar os dados</t>
  </si>
  <si>
    <t>🔹 Função SOMASE</t>
  </si>
  <si>
    <t>Soma valores com base em um critério</t>
  </si>
  <si>
    <t>Estrutura:</t>
  </si>
  <si>
    <t>=SOMASE(intervalo; critério; [intervalo_soma])</t>
  </si>
  <si>
    <t>Exemplo: somar vendas de um produto específico</t>
  </si>
  <si>
    <t>Pode usar critérios como:</t>
  </si>
  <si>
    <t>Texto ("Suco")</t>
  </si>
  <si>
    <t>Números ("&gt;10")</t>
  </si>
  <si>
    <t>Muito usada para relatórios e análises simples</t>
  </si>
  <si>
    <t>Dica: intervalo e intervalo_soma devem ter o mesmo tamanho</t>
  </si>
  <si>
    <t>🔹 Criação de Lista Suspensa</t>
  </si>
  <si>
    <t>Permite criar campos com opções pré-definidas</t>
  </si>
  <si>
    <t>Evita erros de digitação e padroniza dados</t>
  </si>
  <si>
    <r>
      <t xml:space="preserve">Caminho: </t>
    </r>
    <r>
      <rPr>
        <b/>
        <sz val="10"/>
        <color rgb="FF000000"/>
        <rFont val="Arial"/>
        <family val="2"/>
        <scheme val="minor"/>
      </rPr>
      <t>Dados → Validação de Dados → Lista</t>
    </r>
  </si>
  <si>
    <t>Pode usar:</t>
  </si>
  <si>
    <t>Valores digitados manualmente</t>
  </si>
  <si>
    <t>Intervalo de células como fonte</t>
  </si>
  <si>
    <t>Exemplo: Status (Ativo, Inativo)</t>
  </si>
  <si>
    <t>Dica: use uma lista auxiliar em outra aba para organização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</si>
</sst>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_(&quot;R$ &quot;* #,##0.00_);_(&quot;R$ &quot;* \(#,##0.00\);_(&quot;R$ &quot;* &quot;-&quot;??_);_(@_)"/>
    <numFmt numFmtId="165" formatCode="#,##0.0_);\(#,##0.0\)"/>
    <numFmt numFmtId="166" formatCode="0.0%"/>
    <numFmt numFmtId="167" formatCode="_(* #,##0_);_(* \(#,##0\);_(* &quot;-&quot;??_);_(@_)"/>
    <numFmt numFmtId="168" formatCode="_(* #,##0.00_);_(* \(#,##0.00\);_(* &quot;-&quot;??_);_(@_)"/>
  </numFmts>
  <fonts count="30" x14ac:knownFonts="1">
    <font>
      <sz val="10"/>
      <color rgb="FF000000"/>
      <name val="Arial"/>
      <scheme val="minor"/>
    </font>
    <font>
      <sz val="16"/>
      <color rgb="FFFFFF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b/>
      <sz val="18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0"/>
      <color rgb="FF0000FF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14"/>
      <color rgb="FF0000FF"/>
      <name val="Times New Roman"/>
      <family val="1"/>
    </font>
    <font>
      <b/>
      <sz val="12"/>
      <color theme="1"/>
      <name val="Times New Roman"/>
      <family val="1"/>
    </font>
    <font>
      <sz val="10"/>
      <color rgb="FFFF0000"/>
      <name val="Arial"/>
      <family val="2"/>
    </font>
    <font>
      <b/>
      <sz val="14"/>
      <color theme="1"/>
      <name val="Arial"/>
      <family val="2"/>
    </font>
    <font>
      <b/>
      <sz val="12"/>
      <color rgb="FF993366"/>
      <name val="Arial Black"/>
      <family val="2"/>
    </font>
    <font>
      <b/>
      <i/>
      <sz val="8"/>
      <color theme="1"/>
      <name val="Open Sans"/>
      <family val="2"/>
    </font>
    <font>
      <b/>
      <sz val="10"/>
      <color theme="1"/>
      <name val="Open Sans"/>
      <family val="2"/>
    </font>
    <font>
      <i/>
      <sz val="10"/>
      <color theme="1"/>
      <name val="Arial"/>
      <family val="2"/>
    </font>
    <font>
      <b/>
      <i/>
      <sz val="10"/>
      <color rgb="FF00008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3.5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 Unicode MS"/>
      <family val="2"/>
    </font>
  </fonts>
  <fills count="10">
    <fill>
      <patternFill patternType="none"/>
    </fill>
    <fill>
      <patternFill patternType="gray125"/>
    </fill>
    <fill>
      <patternFill patternType="solid">
        <fgColor rgb="FF800000"/>
        <bgColor rgb="FF800000"/>
      </patternFill>
    </fill>
    <fill>
      <patternFill patternType="solid">
        <fgColor rgb="FFCFE2F3"/>
        <bgColor rgb="FFCFE2F3"/>
      </patternFill>
    </fill>
    <fill>
      <patternFill patternType="solid">
        <fgColor rgb="FF0C343D"/>
        <bgColor rgb="FF0C343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ck">
        <color rgb="FFFF0000"/>
      </left>
      <right/>
      <top style="thick">
        <color rgb="FFFF0000"/>
      </top>
      <bottom style="thin">
        <color rgb="FF000000"/>
      </bottom>
      <diagonal/>
    </border>
    <border>
      <left/>
      <right/>
      <top style="thick">
        <color rgb="FFFF0000"/>
      </top>
      <bottom style="thin">
        <color rgb="FF000000"/>
      </bottom>
      <diagonal/>
    </border>
    <border>
      <left/>
      <right style="thick">
        <color rgb="FFFF0000"/>
      </right>
      <top style="thick">
        <color rgb="FFFF0000"/>
      </top>
      <bottom style="thin">
        <color rgb="FF000000"/>
      </bottom>
      <diagonal/>
    </border>
    <border>
      <left style="thick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FF0000"/>
      </right>
      <top style="thin">
        <color rgb="FF000000"/>
      </top>
      <bottom style="thin">
        <color rgb="FF000000"/>
      </bottom>
      <diagonal/>
    </border>
    <border>
      <left style="thick">
        <color rgb="FFFF0000"/>
      </left>
      <right style="thin">
        <color rgb="FF000000"/>
      </right>
      <top style="thin">
        <color rgb="FF000000"/>
      </top>
      <bottom style="thick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FF0000"/>
      </bottom>
      <diagonal/>
    </border>
    <border>
      <left style="thin">
        <color rgb="FF000000"/>
      </left>
      <right style="thick">
        <color rgb="FFFF0000"/>
      </right>
      <top style="thin">
        <color rgb="FF000000"/>
      </top>
      <bottom style="thick">
        <color rgb="FFFF0000"/>
      </bottom>
      <diagonal/>
    </border>
  </borders>
  <cellStyleXfs count="2">
    <xf numFmtId="0" fontId="0" fillId="0" borderId="0"/>
    <xf numFmtId="44" fontId="25" fillId="0" borderId="0" applyFont="0" applyFill="0" applyBorder="0" applyAlignment="0" applyProtection="0"/>
  </cellStyleXfs>
  <cellXfs count="115">
    <xf numFmtId="0" fontId="0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3" borderId="0" xfId="0" applyFont="1" applyFill="1" applyAlignment="1"/>
    <xf numFmtId="0" fontId="3" fillId="3" borderId="0" xfId="0" applyFont="1" applyFill="1" applyAlignment="1"/>
    <xf numFmtId="0" fontId="5" fillId="3" borderId="0" xfId="0" applyFont="1" applyFill="1"/>
    <xf numFmtId="0" fontId="6" fillId="3" borderId="0" xfId="0" applyFont="1" applyFill="1"/>
    <xf numFmtId="0" fontId="7" fillId="0" borderId="0" xfId="0" applyFont="1" applyAlignment="1">
      <alignment vertical="center"/>
    </xf>
    <xf numFmtId="0" fontId="6" fillId="3" borderId="0" xfId="0" applyFont="1" applyFill="1" applyAlignment="1"/>
    <xf numFmtId="0" fontId="8" fillId="4" borderId="0" xfId="0" applyFont="1" applyFill="1"/>
    <xf numFmtId="0" fontId="8" fillId="0" borderId="0" xfId="0" applyFont="1" applyAlignment="1"/>
    <xf numFmtId="0" fontId="7" fillId="0" borderId="0" xfId="0" applyFont="1" applyAlignment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9" fillId="0" borderId="0" xfId="0" applyFont="1" applyAlignment="1"/>
    <xf numFmtId="0" fontId="9" fillId="5" borderId="10" xfId="0" applyFont="1" applyFill="1" applyBorder="1" applyAlignment="1"/>
    <xf numFmtId="0" fontId="3" fillId="5" borderId="11" xfId="0" applyFont="1" applyFill="1" applyBorder="1" applyAlignment="1"/>
    <xf numFmtId="0" fontId="3" fillId="5" borderId="12" xfId="0" applyFont="1" applyFill="1" applyBorder="1" applyAlignment="1"/>
    <xf numFmtId="0" fontId="12" fillId="0" borderId="13" xfId="0" applyFont="1" applyBorder="1" applyAlignment="1"/>
    <xf numFmtId="0" fontId="13" fillId="0" borderId="13" xfId="0" applyFont="1" applyBorder="1" applyAlignment="1"/>
    <xf numFmtId="0" fontId="13" fillId="0" borderId="0" xfId="0" applyFont="1" applyAlignment="1"/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164" fontId="13" fillId="0" borderId="0" xfId="0" applyNumberFormat="1" applyFont="1" applyAlignment="1"/>
    <xf numFmtId="0" fontId="8" fillId="0" borderId="0" xfId="0" applyFont="1"/>
    <xf numFmtId="0" fontId="13" fillId="0" borderId="0" xfId="0" applyFont="1" applyAlignment="1">
      <alignment horizontal="center"/>
    </xf>
    <xf numFmtId="0" fontId="11" fillId="0" borderId="0" xfId="0" applyFont="1" applyAlignment="1"/>
    <xf numFmtId="0" fontId="11" fillId="0" borderId="0" xfId="0" applyFont="1" applyAlignment="1">
      <alignment horizontal="center"/>
    </xf>
    <xf numFmtId="2" fontId="11" fillId="0" borderId="0" xfId="0" applyNumberFormat="1" applyFont="1" applyAlignment="1"/>
    <xf numFmtId="0" fontId="13" fillId="6" borderId="13" xfId="0" applyFont="1" applyFill="1" applyBorder="1" applyAlignment="1"/>
    <xf numFmtId="0" fontId="13" fillId="6" borderId="13" xfId="0" applyFont="1" applyFill="1" applyBorder="1" applyAlignment="1">
      <alignment horizontal="center"/>
    </xf>
    <xf numFmtId="0" fontId="11" fillId="6" borderId="13" xfId="0" applyFont="1" applyFill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3" fillId="6" borderId="13" xfId="0" applyFont="1" applyFill="1" applyBorder="1" applyAlignment="1">
      <alignment horizontal="left"/>
    </xf>
    <xf numFmtId="165" fontId="13" fillId="6" borderId="13" xfId="0" applyNumberFormat="1" applyFont="1" applyFill="1" applyBorder="1" applyAlignment="1">
      <alignment horizontal="center"/>
    </xf>
    <xf numFmtId="165" fontId="16" fillId="0" borderId="13" xfId="0" applyNumberFormat="1" applyFont="1" applyBorder="1" applyAlignment="1">
      <alignment horizontal="center"/>
    </xf>
    <xf numFmtId="0" fontId="11" fillId="6" borderId="13" xfId="0" applyFont="1" applyFill="1" applyBorder="1" applyAlignment="1"/>
    <xf numFmtId="4" fontId="13" fillId="6" borderId="13" xfId="0" applyNumberFormat="1" applyFont="1" applyFill="1" applyBorder="1" applyAlignment="1">
      <alignment horizontal="center"/>
    </xf>
    <xf numFmtId="0" fontId="11" fillId="6" borderId="13" xfId="0" applyFont="1" applyFill="1" applyBorder="1" applyAlignment="1">
      <alignment horizontal="left"/>
    </xf>
    <xf numFmtId="4" fontId="11" fillId="6" borderId="13" xfId="0" applyNumberFormat="1" applyFont="1" applyFill="1" applyBorder="1" applyAlignment="1">
      <alignment horizontal="center"/>
    </xf>
    <xf numFmtId="10" fontId="13" fillId="6" borderId="13" xfId="0" applyNumberFormat="1" applyFont="1" applyFill="1" applyBorder="1" applyAlignment="1"/>
    <xf numFmtId="166" fontId="13" fillId="6" borderId="13" xfId="0" applyNumberFormat="1" applyFont="1" applyFill="1" applyBorder="1" applyAlignment="1"/>
    <xf numFmtId="164" fontId="13" fillId="6" borderId="13" xfId="0" applyNumberFormat="1" applyFont="1" applyFill="1" applyBorder="1" applyAlignment="1"/>
    <xf numFmtId="0" fontId="11" fillId="6" borderId="19" xfId="0" applyFont="1" applyFill="1" applyBorder="1" applyAlignment="1">
      <alignment horizontal="left"/>
    </xf>
    <xf numFmtId="164" fontId="11" fillId="6" borderId="13" xfId="0" applyNumberFormat="1" applyFont="1" applyFill="1" applyBorder="1" applyAlignment="1">
      <alignment horizontal="center"/>
    </xf>
    <xf numFmtId="167" fontId="20" fillId="0" borderId="13" xfId="0" applyNumberFormat="1" applyFont="1" applyBorder="1" applyAlignment="1"/>
    <xf numFmtId="0" fontId="22" fillId="0" borderId="13" xfId="0" applyFont="1" applyBorder="1" applyAlignment="1">
      <alignment horizontal="center" vertical="center" wrapText="1"/>
    </xf>
    <xf numFmtId="164" fontId="22" fillId="0" borderId="13" xfId="0" applyNumberFormat="1" applyFont="1" applyBorder="1" applyAlignment="1">
      <alignment horizontal="center" vertical="center" wrapText="1"/>
    </xf>
    <xf numFmtId="0" fontId="21" fillId="0" borderId="13" xfId="0" applyFont="1" applyBorder="1" applyAlignment="1"/>
    <xf numFmtId="0" fontId="13" fillId="0" borderId="13" xfId="0" applyFont="1" applyBorder="1" applyAlignment="1">
      <alignment horizontal="center"/>
    </xf>
    <xf numFmtId="2" fontId="13" fillId="0" borderId="13" xfId="0" applyNumberFormat="1" applyFont="1" applyBorder="1" applyAlignment="1"/>
    <xf numFmtId="168" fontId="13" fillId="0" borderId="0" xfId="0" applyNumberFormat="1" applyFont="1" applyAlignment="1"/>
    <xf numFmtId="12" fontId="13" fillId="0" borderId="13" xfId="0" applyNumberFormat="1" applyFont="1" applyBorder="1" applyAlignment="1">
      <alignment horizontal="center"/>
    </xf>
    <xf numFmtId="0" fontId="11" fillId="8" borderId="13" xfId="0" applyFont="1" applyFill="1" applyBorder="1" applyAlignment="1">
      <alignment horizontal="center"/>
    </xf>
    <xf numFmtId="0" fontId="11" fillId="9" borderId="13" xfId="0" applyFont="1" applyFill="1" applyBorder="1" applyAlignment="1"/>
    <xf numFmtId="168" fontId="13" fillId="9" borderId="13" xfId="0" applyNumberFormat="1" applyFont="1" applyFill="1" applyBorder="1" applyAlignment="1"/>
    <xf numFmtId="168" fontId="13" fillId="0" borderId="13" xfId="0" applyNumberFormat="1" applyFont="1" applyBorder="1" applyAlignment="1"/>
    <xf numFmtId="0" fontId="13" fillId="0" borderId="13" xfId="0" applyFont="1" applyBorder="1" applyAlignment="1">
      <alignment horizontal="left"/>
    </xf>
    <xf numFmtId="0" fontId="13" fillId="0" borderId="13" xfId="0" applyFont="1" applyBorder="1" applyAlignment="1">
      <alignment horizontal="left" wrapText="1"/>
    </xf>
    <xf numFmtId="10" fontId="13" fillId="9" borderId="13" xfId="0" applyNumberFormat="1" applyFont="1" applyFill="1" applyBorder="1" applyAlignment="1">
      <alignment horizontal="center"/>
    </xf>
    <xf numFmtId="0" fontId="0" fillId="0" borderId="0" xfId="0" applyFont="1" applyAlignment="1"/>
    <xf numFmtId="0" fontId="2" fillId="0" borderId="16" xfId="0" applyFont="1" applyBorder="1"/>
    <xf numFmtId="0" fontId="13" fillId="0" borderId="14" xfId="0" applyFont="1" applyBorder="1" applyAlignment="1">
      <alignment horizontal="left"/>
    </xf>
    <xf numFmtId="0" fontId="13" fillId="0" borderId="23" xfId="0" applyFont="1" applyBorder="1" applyAlignment="1"/>
    <xf numFmtId="0" fontId="13" fillId="0" borderId="24" xfId="0" applyFont="1" applyBorder="1" applyAlignment="1"/>
    <xf numFmtId="0" fontId="13" fillId="0" borderId="25" xfId="0" applyFont="1" applyBorder="1" applyAlignment="1"/>
    <xf numFmtId="0" fontId="13" fillId="0" borderId="26" xfId="0" applyFont="1" applyBorder="1" applyAlignment="1"/>
    <xf numFmtId="0" fontId="13" fillId="0" borderId="27" xfId="0" applyFont="1" applyBorder="1" applyAlignment="1"/>
    <xf numFmtId="44" fontId="13" fillId="6" borderId="13" xfId="1" applyFont="1" applyFill="1" applyBorder="1" applyAlignment="1"/>
    <xf numFmtId="44" fontId="13" fillId="0" borderId="13" xfId="1" applyFont="1" applyBorder="1" applyAlignment="1"/>
    <xf numFmtId="44" fontId="0" fillId="0" borderId="0" xfId="0" applyNumberFormat="1" applyFont="1" applyAlignment="1"/>
    <xf numFmtId="0" fontId="27" fillId="0" borderId="0" xfId="0" applyFont="1" applyAlignment="1">
      <alignment vertical="center"/>
    </xf>
    <xf numFmtId="0" fontId="0" fillId="0" borderId="0" xfId="0" applyFont="1" applyAlignment="1">
      <alignment horizontal="left" vertical="center" indent="1"/>
    </xf>
    <xf numFmtId="0" fontId="26" fillId="0" borderId="0" xfId="0" applyFont="1" applyAlignment="1">
      <alignment horizontal="left" vertical="center" indent="1"/>
    </xf>
    <xf numFmtId="0" fontId="26" fillId="0" borderId="0" xfId="0" applyFont="1" applyAlignment="1">
      <alignment horizontal="left" vertical="center" indent="2"/>
    </xf>
    <xf numFmtId="0" fontId="29" fillId="0" borderId="0" xfId="0" applyFont="1" applyAlignment="1">
      <alignment horizontal="left" vertical="center" indent="1"/>
    </xf>
    <xf numFmtId="0" fontId="8" fillId="4" borderId="0" xfId="0" applyFont="1" applyFill="1" applyAlignment="1">
      <alignment vertical="top" wrapText="1"/>
    </xf>
    <xf numFmtId="0" fontId="0" fillId="0" borderId="0" xfId="0" applyFont="1" applyAlignment="1"/>
    <xf numFmtId="0" fontId="9" fillId="5" borderId="4" xfId="0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3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8" fillId="0" borderId="0" xfId="0" applyFont="1" applyAlignment="1">
      <alignment vertical="top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11" fillId="0" borderId="0" xfId="0" applyFont="1" applyAlignment="1">
      <alignment horizontal="left"/>
    </xf>
    <xf numFmtId="0" fontId="12" fillId="0" borderId="20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6" borderId="14" xfId="0" applyFont="1" applyFill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0" fontId="13" fillId="6" borderId="14" xfId="0" applyFont="1" applyFill="1" applyBorder="1" applyAlignment="1">
      <alignment horizontal="left"/>
    </xf>
    <xf numFmtId="0" fontId="13" fillId="0" borderId="14" xfId="0" applyFont="1" applyBorder="1" applyAlignment="1">
      <alignment horizontal="left"/>
    </xf>
    <xf numFmtId="0" fontId="0" fillId="0" borderId="15" xfId="0" applyFont="1" applyBorder="1" applyAlignment="1">
      <alignment horizontal="center"/>
    </xf>
    <xf numFmtId="49" fontId="17" fillId="7" borderId="4" xfId="0" applyNumberFormat="1" applyFont="1" applyFill="1" applyBorder="1" applyAlignment="1">
      <alignment horizontal="center" vertical="center"/>
    </xf>
    <xf numFmtId="0" fontId="2" fillId="0" borderId="17" xfId="0" applyFont="1" applyBorder="1"/>
    <xf numFmtId="0" fontId="2" fillId="0" borderId="18" xfId="0" applyFont="1" applyBorder="1"/>
    <xf numFmtId="0" fontId="11" fillId="6" borderId="14" xfId="0" applyFont="1" applyFill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1" fillId="8" borderId="14" xfId="0" applyFont="1" applyFill="1" applyBorder="1" applyAlignment="1">
      <alignment horizontal="center"/>
    </xf>
    <xf numFmtId="0" fontId="23" fillId="0" borderId="4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3" fillId="0" borderId="14" xfId="0" applyFon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590550</xdr:colOff>
      <xdr:row>28</xdr:row>
      <xdr:rowOff>142875</xdr:rowOff>
    </xdr:from>
    <xdr:ext cx="1428750" cy="238125"/>
    <xdr:grpSp>
      <xdr:nvGrpSpPr>
        <xdr:cNvPr id="2" name="Shape 2" title="Desenh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524125" y="6696075"/>
          <a:ext cx="1428750" cy="238125"/>
          <a:chOff x="2174350" y="925775"/>
          <a:chExt cx="3451325" cy="14109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2174350" y="1108475"/>
            <a:ext cx="741000" cy="11673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CxnSpPr/>
        </xdr:nvCxnSpPr>
        <xdr:spPr>
          <a:xfrm flipH="1">
            <a:off x="3930375" y="925775"/>
            <a:ext cx="1695300" cy="14109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419100</xdr:colOff>
      <xdr:row>0</xdr:row>
      <xdr:rowOff>161925</xdr:rowOff>
    </xdr:from>
    <xdr:ext cx="5200650" cy="2762250"/>
    <xdr:grpSp>
      <xdr:nvGrpSpPr>
        <xdr:cNvPr id="5" name="Shape 5" title="Desenh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4476750" y="161925"/>
          <a:ext cx="5200650" cy="2762250"/>
          <a:chOff x="2745675" y="2398875"/>
          <a:chExt cx="5200650" cy="2762250"/>
        </a:xfrm>
      </xdr:grpSpPr>
      <xdr:grpSp>
        <xdr:nvGrpSpPr>
          <xdr:cNvPr id="6" name="Shape 6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GrpSpPr/>
        </xdr:nvGrpSpPr>
        <xdr:grpSpPr>
          <a:xfrm>
            <a:off x="2745675" y="2398875"/>
            <a:ext cx="5200650" cy="2762250"/>
            <a:chOff x="0" y="319"/>
            <a:chExt cx="541" cy="291"/>
          </a:xfrm>
        </xdr:grpSpPr>
        <xdr:sp macro="" textlink="">
          <xdr:nvSpPr>
            <xdr:cNvPr id="7" name="Shape 7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0" y="319"/>
              <a:ext cx="525" cy="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" name="Shape 8">
              <a:extLs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:cNvPr>
            <xdr:cNvSpPr/>
          </xdr:nvSpPr>
          <xdr:spPr>
            <a:xfrm>
              <a:off x="0" y="319"/>
              <a:ext cx="541" cy="67"/>
            </a:xfrm>
            <a:prstGeom prst="rect">
              <a:avLst/>
            </a:prstGeom>
            <a:solidFill>
              <a:srgbClr val="FFFFCC"/>
            </a:solidFill>
            <a:ln w="317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b="1" i="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Com a tabela pronta, agora mude sua aparência formatando células, inserindo Bordas, Sombreamento, Alinhamento, etc.</a:t>
              </a:r>
              <a:endParaRPr sz="1400"/>
            </a:p>
          </xdr:txBody>
        </xdr:sp>
        <xdr:sp macro="" textlink="">
          <xdr:nvSpPr>
            <xdr:cNvPr id="9" name="Shape 9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SpPr/>
          </xdr:nvSpPr>
          <xdr:spPr>
            <a:xfrm>
              <a:off x="1" y="386"/>
              <a:ext cx="539" cy="224"/>
            </a:xfrm>
            <a:prstGeom prst="rect">
              <a:avLst/>
            </a:prstGeom>
            <a:solidFill>
              <a:srgbClr val="FFFFFF"/>
            </a:solidFill>
            <a:ln w="2540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Após ter digitado os dados siga os seguintes procedimentos:</a:t>
              </a:r>
              <a:endParaRPr sz="14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00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1 - Retire as linhas de grade;</a:t>
              </a:r>
              <a:endParaRPr sz="14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2 - Retire as linhas em excesso, depois do título e depois dos produtos;</a:t>
              </a:r>
              <a:endParaRPr sz="14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3 - Altere a fonte para Times Nerw Roman, Tamanho 12;</a:t>
              </a:r>
              <a:endParaRPr sz="14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4 - Aplique a cor de fonte Azul para o Título da tabela;</a:t>
              </a:r>
              <a:endParaRPr sz="14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5 - Aplique o Estilo de Moeda nos valores;</a:t>
              </a:r>
              <a:endParaRPr sz="14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6 - Insira bordas de cor vermelha no contorno e preta internamente;</a:t>
              </a:r>
              <a:endParaRPr sz="14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7 - Centralize verticalmente a linha do título; para um efeito melhor aumente a altura da linha;</a:t>
              </a:r>
              <a:endParaRPr sz="1400"/>
            </a:p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i="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8 - Utilize cores de frente (Letras) e de fundo (Preenchimento).</a:t>
              </a:r>
              <a:endParaRPr sz="1400"/>
            </a:p>
          </xdr:txBody>
        </xdr: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2914650</xdr:rowOff>
    </xdr:from>
    <xdr:ext cx="5219700" cy="3000375"/>
    <xdr:grpSp>
      <xdr:nvGrpSpPr>
        <xdr:cNvPr id="5" name="Shape 5" title="Desenho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pSpPr/>
      </xdr:nvGrpSpPr>
      <xdr:grpSpPr>
        <a:xfrm>
          <a:off x="0" y="161925"/>
          <a:ext cx="5219700" cy="3000375"/>
          <a:chOff x="181775" y="1526050"/>
          <a:chExt cx="5200650" cy="2762250"/>
        </a:xfrm>
      </xdr:grpSpPr>
      <xdr:grpSp>
        <xdr:nvGrpSpPr>
          <xdr:cNvPr id="6" name="Shape 6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GrpSpPr/>
        </xdr:nvGrpSpPr>
        <xdr:grpSpPr>
          <a:xfrm>
            <a:off x="181775" y="1526050"/>
            <a:ext cx="5200650" cy="2762250"/>
            <a:chOff x="0" y="319"/>
            <a:chExt cx="541" cy="291"/>
          </a:xfrm>
        </xdr:grpSpPr>
        <xdr:sp macro="" textlink="">
          <xdr:nvSpPr>
            <xdr:cNvPr id="7" name="Shape 7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0" y="319"/>
              <a:ext cx="525" cy="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" name="Shape 8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SpPr/>
          </xdr:nvSpPr>
          <xdr:spPr>
            <a:xfrm>
              <a:off x="0" y="319"/>
              <a:ext cx="541" cy="67"/>
            </a:xfrm>
            <a:prstGeom prst="rect">
              <a:avLst/>
            </a:prstGeom>
            <a:solidFill>
              <a:srgbClr val="FFFFCC"/>
            </a:solidFill>
            <a:ln w="317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 b="1" i="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Com a tabela pronta, agora mude sua aparência formatando células, inserindo Bordas, Sombreamento, Alinhamento, etc.</a:t>
              </a:r>
              <a:endParaRPr sz="1400"/>
            </a:p>
          </xdr:txBody>
        </xdr:sp>
        <xdr:sp macro="" textlink="">
          <xdr:nvSpPr>
            <xdr:cNvPr id="9" name="Shape 9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SpPr/>
          </xdr:nvSpPr>
          <xdr:spPr>
            <a:xfrm>
              <a:off x="1" y="386"/>
              <a:ext cx="539" cy="224"/>
            </a:xfrm>
            <a:prstGeom prst="rect">
              <a:avLst/>
            </a:prstGeom>
            <a:solidFill>
              <a:srgbClr val="FFFFFF"/>
            </a:solidFill>
            <a:ln w="2540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lnSpc>
                  <a:spcPct val="115000"/>
                </a:lnSpc>
                <a:spcBef>
                  <a:spcPts val="1200"/>
                </a:spcBef>
                <a:spcAft>
                  <a:spcPts val="0"/>
                </a:spcAft>
                <a:buNone/>
              </a:pPr>
              <a:endParaRPr sz="800"/>
            </a:p>
            <a:p>
              <a:pPr marL="0" lvl="0" indent="0" algn="l" rtl="0">
                <a:lnSpc>
                  <a:spcPct val="115000"/>
                </a:lnSpc>
                <a:spcBef>
                  <a:spcPts val="1200"/>
                </a:spcBef>
                <a:spcAft>
                  <a:spcPts val="0"/>
                </a:spcAft>
                <a:buNone/>
              </a:pPr>
              <a:r>
                <a:rPr lang="en-US" sz="800"/>
                <a:t>Variação 2 – Moderna   Após ter digitado os dados, siga os seguintes procedimentos:</a:t>
              </a:r>
              <a:endParaRPr sz="800"/>
            </a:p>
            <a:p>
              <a:pPr marL="457200" lvl="0" indent="-279400" algn="l" rtl="0">
                <a:lnSpc>
                  <a:spcPct val="115000"/>
                </a:lnSpc>
                <a:spcBef>
                  <a:spcPts val="1200"/>
                </a:spcBef>
                <a:spcAft>
                  <a:spcPts val="0"/>
                </a:spcAft>
                <a:buSzPts val="800"/>
                <a:buAutoNum type="arabicPeriod"/>
              </a:pPr>
              <a:r>
                <a:rPr lang="en-US" sz="800"/>
                <a:t>Retire as linhas de grade da planilha.</a:t>
              </a:r>
              <a:endParaRPr sz="800"/>
            </a:p>
            <a:p>
              <a:pPr marL="457200" lvl="0" indent="-279400" algn="l" rtl="0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SzPts val="800"/>
                <a:buAutoNum type="arabicPeriod"/>
              </a:pPr>
              <a:r>
                <a:rPr lang="en-US" sz="800"/>
                <a:t>Exclua as linhas em excesso antes do título e após o último registro.</a:t>
              </a:r>
              <a:endParaRPr sz="800"/>
            </a:p>
            <a:p>
              <a:pPr marL="457200" lvl="0" indent="-279400" algn="l" rtl="0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SzPts val="800"/>
                <a:buAutoNum type="arabicPeriod"/>
              </a:pPr>
              <a:r>
                <a:rPr lang="en-US" sz="800"/>
                <a:t>Altere a fonte da tabela para </a:t>
              </a:r>
              <a:r>
                <a:rPr lang="en-US" sz="800" b="1"/>
                <a:t>Segoe UI</a:t>
              </a:r>
              <a:r>
                <a:rPr lang="en-US" sz="800"/>
                <a:t>, tamanho </a:t>
              </a:r>
              <a:r>
                <a:rPr lang="en-US" sz="800" b="1"/>
                <a:t>11</a:t>
              </a:r>
              <a:r>
                <a:rPr lang="en-US" sz="800"/>
                <a:t>.</a:t>
              </a:r>
              <a:endParaRPr sz="800"/>
            </a:p>
            <a:p>
              <a:pPr marL="457200" lvl="0" indent="-279400" algn="l" rtl="0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SzPts val="800"/>
                <a:buAutoNum type="arabicPeriod"/>
              </a:pPr>
              <a:r>
                <a:rPr lang="en-US" sz="800"/>
                <a:t>Aplique </a:t>
              </a:r>
              <a:r>
                <a:rPr lang="en-US" sz="800" b="1"/>
                <a:t>cor de fonte branca</a:t>
              </a:r>
              <a:r>
                <a:rPr lang="en-US" sz="800"/>
                <a:t> no </a:t>
              </a:r>
              <a:r>
                <a:rPr lang="en-US" sz="800" b="1"/>
                <a:t>título da tabela</a:t>
              </a:r>
              <a:r>
                <a:rPr lang="en-US" sz="800"/>
                <a:t>, com </a:t>
              </a:r>
              <a:r>
                <a:rPr lang="en-US" sz="800" b="1"/>
                <a:t>preenchimento azul escuro</a:t>
              </a:r>
              <a:r>
                <a:rPr lang="en-US" sz="800"/>
                <a:t> e </a:t>
              </a:r>
              <a:r>
                <a:rPr lang="en-US" sz="800" b="1"/>
                <a:t>negrito</a:t>
              </a:r>
              <a:r>
                <a:rPr lang="en-US" sz="800"/>
                <a:t>.</a:t>
              </a:r>
              <a:endParaRPr sz="800"/>
            </a:p>
            <a:p>
              <a:pPr marL="457200" lvl="0" indent="-279400" algn="l" rtl="0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SzPts val="800"/>
                <a:buAutoNum type="arabicPeriod"/>
              </a:pPr>
              <a:r>
                <a:rPr lang="en-US" sz="800"/>
                <a:t>Utilize o </a:t>
              </a:r>
              <a:r>
                <a:rPr lang="en-US" sz="800" b="1"/>
                <a:t>Estilo de Moeda (R$)</a:t>
              </a:r>
              <a:r>
                <a:rPr lang="en-US" sz="800"/>
                <a:t> nos valores.</a:t>
              </a:r>
              <a:endParaRPr sz="800"/>
            </a:p>
            <a:p>
              <a:pPr marL="457200" lvl="0" indent="-279400" algn="l" rtl="0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SzPts val="800"/>
                <a:buAutoNum type="arabicPeriod"/>
              </a:pPr>
              <a:r>
                <a:rPr lang="en-US" sz="800"/>
                <a:t>Insira bordas na tabela:</a:t>
              </a:r>
              <a:endParaRPr sz="800"/>
            </a:p>
            <a:p>
              <a:pPr marL="914400" lvl="1" indent="-279400" algn="l" rtl="0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SzPts val="800"/>
                <a:buChar char="○"/>
              </a:pPr>
              <a:r>
                <a:rPr lang="en-US" sz="800"/>
                <a:t>Contorno externo: </a:t>
              </a:r>
              <a:r>
                <a:rPr lang="en-US" sz="800" b="1"/>
                <a:t>borda azul escura espessa</a:t>
              </a:r>
              <a:endParaRPr sz="800" b="1"/>
            </a:p>
            <a:p>
              <a:pPr marL="914400" lvl="1" indent="-279400" algn="l" rtl="0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SzPts val="800"/>
                <a:buChar char="○"/>
              </a:pPr>
              <a:r>
                <a:rPr lang="en-US" sz="800"/>
                <a:t>Bordas internas: </a:t>
              </a:r>
              <a:r>
                <a:rPr lang="en-US" sz="800" b="1"/>
                <a:t>borda branca ou cinza bem clara</a:t>
              </a:r>
              <a:r>
                <a:rPr lang="en-US" sz="800"/>
                <a:t>.</a:t>
              </a:r>
              <a:endParaRPr sz="800"/>
            </a:p>
            <a:p>
              <a:pPr marL="457200" lvl="0" indent="-279400" algn="l" rtl="0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SzPts val="800"/>
                <a:buAutoNum type="arabicPeriod"/>
              </a:pPr>
              <a:r>
                <a:rPr lang="en-US" sz="800"/>
                <a:t>Centralize verticalmente o título e aumente a altura da linha.</a:t>
              </a:r>
              <a:endParaRPr sz="800"/>
            </a:p>
            <a:p>
              <a:pPr marL="457200" lvl="0" indent="-279400" algn="l" rtl="0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SzPts val="800"/>
                <a:buAutoNum type="arabicPeriod"/>
              </a:pPr>
              <a:r>
                <a:rPr lang="en-US" sz="800"/>
                <a:t>Utilize cores de fonte e preenchimento:</a:t>
              </a:r>
              <a:endParaRPr sz="800"/>
            </a:p>
            <a:p>
              <a:pPr marL="914400" lvl="1" indent="-279400" algn="l" rtl="0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SzPts val="800"/>
                <a:buChar char="○"/>
              </a:pPr>
              <a:r>
                <a:rPr lang="en-US" sz="800"/>
                <a:t>Cabeçalho com </a:t>
              </a:r>
              <a:r>
                <a:rPr lang="en-US" sz="800" b="1"/>
                <a:t>preenchimento azul claro</a:t>
              </a:r>
              <a:endParaRPr sz="800" b="1"/>
            </a:p>
            <a:p>
              <a:pPr marL="914400" lvl="1" indent="-279400" algn="l" rtl="0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SzPts val="800"/>
                <a:buChar char="○"/>
              </a:pPr>
              <a:r>
                <a:rPr lang="en-US" sz="800"/>
                <a:t>Linhas de dados com </a:t>
              </a:r>
              <a:r>
                <a:rPr lang="en-US" sz="800" b="1"/>
                <a:t>preenchimento alternado (zebra)</a:t>
              </a:r>
              <a:r>
                <a:rPr lang="en-US" sz="800"/>
                <a:t>.</a:t>
              </a:r>
              <a:endParaRPr sz="800"/>
            </a:p>
            <a:p>
              <a:pPr marL="0" lvl="0" indent="0" algn="l" rtl="0">
                <a:spcBef>
                  <a:spcPts val="1200"/>
                </a:spcBef>
                <a:spcAft>
                  <a:spcPts val="0"/>
                </a:spcAft>
                <a:buNone/>
              </a:pPr>
              <a:endParaRPr sz="1000"/>
            </a:p>
          </xdr:txBody>
        </xdr:sp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38100</xdr:colOff>
      <xdr:row>0</xdr:row>
      <xdr:rowOff>66675</xdr:rowOff>
    </xdr:from>
    <xdr:ext cx="5133975" cy="18002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4876800" y="66675"/>
          <a:ext cx="5133975" cy="18002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Neste exercício iremos calcular os totais de vendas da Confecções Salim.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1.Formate os número para duas casas decimais nas células em que constam valores;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2. Calcule o total de cada Região;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3. Calcule o Total de cada Mês;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4. Selecione as células A1 até G1, mescle e centralize;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5. Selecione as células A3 até G3, mescle e centralize;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6. Aplique a cor de preenchimento verde claro nas células mescladas;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7. Aplique a cor de preechimento Amarelo Claro nas células dos totais;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8. Centralize o texto das Regiôes;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9. Aplique Negrito no texto;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10. Insira Bordas na planinlha.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</xdr:colOff>
      <xdr:row>0</xdr:row>
      <xdr:rowOff>0</xdr:rowOff>
    </xdr:from>
    <xdr:ext cx="4629150" cy="28670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3031425" y="2351250"/>
          <a:ext cx="4629150" cy="28575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Neste Exercício Iremos Inserir dados e fórmulas numa planilha. Numa Planilha Nova.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1. Na célula A1 digite: Salário Mensal;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2. Na célula A2 digite: Mês;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3. Na célula A3 digite: Quantidade de dias do mês;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4. Na célula A4 digite: Valor do Dia trabalhado;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5. Na célula A5 digite : Quantidade de dias trabalhados;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6. Na célula A6 digite : Valor a ser pago;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7. Na célula B1 digite: 2.000;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8. Na célula B2 digite: Janeiro;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9. Na célula B3 Digite : 31;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10. Na célula B4 Digite: =B1/B3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11. Na célula B5 Digite: 31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12. Na célula B6 digite : =B5*B4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13. Altere a quantidade dias trabalhados para: 25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14. Aplique o Estilo de Moeda nas células em que constam valores.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15. Insira Bordas na planinlha.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b="1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b="1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b="1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b="1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23</xdr:row>
      <xdr:rowOff>19050</xdr:rowOff>
    </xdr:from>
    <xdr:ext cx="4914900" cy="17716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>
          <a:off x="2893313" y="2898938"/>
          <a:ext cx="4905375" cy="17621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Neste Exercício iremos calcular o total das notas e a média do aluno.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1. Calcule o total das notas;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2. Calcule a média do aluno: Total das Notas dividido pelo número de notas somadas (Total de Notas/4);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3. Aplique Bordas internas e externas a planilha;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4. Aplique cor de preenchimento Azul Pálido na coluna Total;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5. Aplique cor de preenchimento Verde Claro na coluna Média Final;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6. Aplique a cor da Fonte Vermelha;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7. Utilize duas casas decimais após a virgula em toda a planilha.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b="1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b="1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b="1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752475</xdr:colOff>
      <xdr:row>1</xdr:row>
      <xdr:rowOff>0</xdr:rowOff>
    </xdr:from>
    <xdr:ext cx="95250" cy="20002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>
          <a:off x="5303138" y="3679988"/>
          <a:ext cx="857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123825</xdr:colOff>
      <xdr:row>1</xdr:row>
      <xdr:rowOff>28575</xdr:rowOff>
    </xdr:from>
    <xdr:ext cx="4629150" cy="159067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>
          <a:off x="3031425" y="2989425"/>
          <a:ext cx="4629150" cy="15811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Neste Exercício iremos calcular o total das Compras.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1. Calcule o total de cada item: Quantidade X Valor Unitário;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2. Calcule o Total Geral da Compra </a:t>
          </a:r>
          <a:r>
            <a:rPr lang="en-US" sz="1000" b="1" i="0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COM</a:t>
          </a: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o Item Sucos;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3. Calcule o Total Geral da Compra </a:t>
          </a:r>
          <a:r>
            <a:rPr lang="en-US" sz="1000" b="1" i="0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SEM</a:t>
          </a: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o Item Sucos;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4. Calcule a diferença entre os dois resultados;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5. Mescle e Centralize conforme o modelo;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6. Aplique a cor da fonte vermelha nos totais;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7. Utilize duas casas decimais após a virgula em toda a planilha.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b="1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b="1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104775</xdr:rowOff>
    </xdr:from>
    <xdr:ext cx="5229225" cy="1381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2731388" y="3094200"/>
          <a:ext cx="5229225" cy="13716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Neste Exercício iremos calcular o orçamento do trimestre.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1. Para o mês de Fevereiro Calcule um aumento de 1,5% em cada ítem;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2. Para o mês de Março Calcule um aumento de 2,4% em cada ítem;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3. Calcule o Total dos Gastos;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4. Calcule o Saldo: Salário - Total de Gastos;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5. Aplique a cor da fonte Azul nos totais;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6. Utilize Três casas decimais após a virgula em toda a planilha.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900" b="1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900" b="1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76200</xdr:colOff>
      <xdr:row>2</xdr:row>
      <xdr:rowOff>114300</xdr:rowOff>
    </xdr:from>
    <xdr:ext cx="4629150" cy="136207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/>
      </xdr:nvSpPr>
      <xdr:spPr>
        <a:xfrm>
          <a:off x="3031425" y="3103725"/>
          <a:ext cx="4629150" cy="13525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Neste Exercício iremos calcular a folha de pagamento desta empresa.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1. Leve o ponteiro do mouse até a seta vermelha para obter informações de como calcular os valores;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2. Calcule o total dos Salários Bruto e Salário Líquido;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3. Utilize Duas casas decimais após a virgula em toda a planilha;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4. Aplique o estilo de moeda nos valores.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b="1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b="1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b="1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46</xdr:row>
      <xdr:rowOff>9525</xdr:rowOff>
    </xdr:from>
    <xdr:ext cx="5905500" cy="296227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/>
      </xdr:nvSpPr>
      <xdr:spPr>
        <a:xfrm>
          <a:off x="2398013" y="2303625"/>
          <a:ext cx="5895975" cy="29527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Inserir as seguintes Fórmulas e Funções: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1 - Aplique estilo de Moeda com duas casas decimais em toda a planilha;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2 - A coluna Total refere-se ao total do quadrimestre de cada linha de item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  (total meses Jan ... Fev);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3 - Faturamento Líquido = Faturamento Bruto - Impostos - Comissões;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4 - Total de Gastos Fixos e a soma mês a mês dos itens de Gastos Fixos;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5 - Total de Gastos Variáveis idem ao item 4;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6 - Contribuição Líquida = Faturamento Líquido - Gastos Variáveis;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7 - Lucro Gerencial = Contribuição Líquida - Gastos Fixos;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8 - % do Lucro Gerencial = Lucro Gerencial / Faruramento Líquido;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9 - Aplique 1º o Estilo de Porcentagem, para depois aplicar a fórmula, utilize três casas  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  decimais.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Obs: Ao aplicar numa célula uma função ou fórmula que se repete para outras células, posicionar o mouse no quadradinho que fica no canto inferior direito da celula selecionada até que o cursor fique uma cruz preta, clicar o botão do mouse e arrastar.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8"/>
  <sheetViews>
    <sheetView topLeftCell="A11" workbookViewId="0">
      <selection sqref="A1:D1"/>
    </sheetView>
  </sheetViews>
  <sheetFormatPr defaultColWidth="12.5703125" defaultRowHeight="15" customHeight="1" x14ac:dyDescent="0.2"/>
  <cols>
    <col min="1" max="1" width="16.42578125" customWidth="1"/>
  </cols>
  <sheetData>
    <row r="1" spans="1:25" ht="20.25" x14ac:dyDescent="0.3">
      <c r="A1" s="85" t="s">
        <v>0</v>
      </c>
      <c r="B1" s="86"/>
      <c r="C1" s="86"/>
      <c r="D1" s="87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2.7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2.75" x14ac:dyDescent="0.2">
      <c r="A3" s="2" t="s">
        <v>1</v>
      </c>
      <c r="B3" s="2" t="s">
        <v>2</v>
      </c>
      <c r="C3" s="2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2.75" x14ac:dyDescent="0.2">
      <c r="A4" s="2" t="s">
        <v>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2.75" x14ac:dyDescent="0.2">
      <c r="A5" s="2" t="s">
        <v>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2.75" x14ac:dyDescent="0.2">
      <c r="A6" s="2" t="s">
        <v>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3.25" x14ac:dyDescent="0.35">
      <c r="A7" s="2" t="s">
        <v>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3" t="s">
        <v>8</v>
      </c>
      <c r="P7" s="4"/>
      <c r="Q7" s="4"/>
      <c r="R7" s="4"/>
      <c r="S7" s="4"/>
      <c r="T7" s="4"/>
      <c r="U7" s="4"/>
      <c r="V7" s="1"/>
      <c r="W7" s="1"/>
      <c r="X7" s="1"/>
      <c r="Y7" s="1"/>
    </row>
    <row r="8" spans="1:25" ht="23.25" x14ac:dyDescent="0.35">
      <c r="A8" s="2" t="s">
        <v>9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4"/>
      <c r="Q8" s="4"/>
      <c r="R8" s="4"/>
      <c r="S8" s="4"/>
      <c r="T8" s="4"/>
      <c r="U8" s="4"/>
      <c r="V8" s="1"/>
      <c r="W8" s="1"/>
      <c r="X8" s="1"/>
      <c r="Y8" s="1"/>
    </row>
    <row r="9" spans="1:25" ht="20.25" customHeight="1" x14ac:dyDescent="0.35">
      <c r="A9" s="2" t="s">
        <v>10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3" t="s">
        <v>11</v>
      </c>
      <c r="P9" s="4"/>
      <c r="Q9" s="4"/>
      <c r="R9" s="4"/>
      <c r="S9" s="4"/>
      <c r="T9" s="4"/>
      <c r="U9" s="4"/>
      <c r="V9" s="1"/>
      <c r="W9" s="1"/>
      <c r="X9" s="1"/>
      <c r="Y9" s="1"/>
    </row>
    <row r="10" spans="1:25" ht="14.2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6"/>
      <c r="P10" s="4"/>
      <c r="Q10" s="4"/>
      <c r="R10" s="4"/>
      <c r="S10" s="4"/>
      <c r="T10" s="4"/>
      <c r="U10" s="4"/>
      <c r="V10" s="1"/>
      <c r="W10" s="1"/>
      <c r="X10" s="1"/>
      <c r="Y10" s="1"/>
    </row>
    <row r="11" spans="1:25" ht="38.25" customHeight="1" x14ac:dyDescent="0.25">
      <c r="A11" s="7" t="s">
        <v>12</v>
      </c>
      <c r="B11" s="88" t="s">
        <v>13</v>
      </c>
      <c r="C11" s="77"/>
      <c r="D11" s="77"/>
      <c r="E11" s="77"/>
      <c r="F11" s="77"/>
      <c r="G11" s="1"/>
      <c r="H11" s="1"/>
      <c r="I11" s="1"/>
      <c r="J11" s="1"/>
      <c r="K11" s="1"/>
      <c r="L11" s="1"/>
      <c r="M11" s="1"/>
      <c r="N11" s="1"/>
      <c r="O11" s="8" t="s">
        <v>14</v>
      </c>
      <c r="P11" s="4"/>
      <c r="Q11" s="4"/>
      <c r="R11" s="4"/>
      <c r="S11" s="4"/>
      <c r="T11" s="4"/>
      <c r="U11" s="4"/>
      <c r="V11" s="1"/>
      <c r="W11" s="1"/>
      <c r="X11" s="1"/>
      <c r="Y11" s="1"/>
    </row>
    <row r="12" spans="1:25" ht="15" customHeight="1" x14ac:dyDescent="0.25">
      <c r="A12" s="9"/>
      <c r="B12" s="76"/>
      <c r="C12" s="77"/>
      <c r="D12" s="77"/>
      <c r="E12" s="77"/>
      <c r="F12" s="77"/>
      <c r="G12" s="1"/>
      <c r="H12" s="1"/>
      <c r="I12" s="1"/>
      <c r="J12" s="1"/>
      <c r="K12" s="1"/>
      <c r="L12" s="1"/>
      <c r="M12" s="1"/>
      <c r="N12" s="1"/>
      <c r="O12" s="6"/>
      <c r="P12" s="4"/>
      <c r="Q12" s="4"/>
      <c r="R12" s="4"/>
      <c r="S12" s="4"/>
      <c r="T12" s="4"/>
      <c r="U12" s="4"/>
      <c r="V12" s="1"/>
      <c r="W12" s="1"/>
      <c r="X12" s="1"/>
      <c r="Y12" s="1"/>
    </row>
    <row r="13" spans="1:25" ht="27.75" customHeight="1" x14ac:dyDescent="0.25">
      <c r="A13" s="89" t="s">
        <v>15</v>
      </c>
      <c r="B13" s="10" t="s">
        <v>16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8" t="s">
        <v>17</v>
      </c>
      <c r="P13" s="4"/>
      <c r="Q13" s="4"/>
      <c r="R13" s="4"/>
      <c r="S13" s="4"/>
      <c r="T13" s="4"/>
      <c r="U13" s="4"/>
      <c r="V13" s="1"/>
      <c r="W13" s="1"/>
      <c r="X13" s="1"/>
      <c r="Y13" s="1"/>
    </row>
    <row r="14" spans="1:25" ht="18" x14ac:dyDescent="0.25">
      <c r="A14" s="77"/>
      <c r="B14" s="10" t="s">
        <v>18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6"/>
      <c r="P14" s="4"/>
      <c r="Q14" s="4"/>
      <c r="R14" s="4"/>
      <c r="S14" s="4"/>
      <c r="T14" s="4"/>
      <c r="U14" s="4"/>
      <c r="V14" s="1"/>
      <c r="W14" s="1"/>
      <c r="X14" s="1"/>
      <c r="Y14" s="1"/>
    </row>
    <row r="15" spans="1:25" ht="18" x14ac:dyDescent="0.25">
      <c r="A15" s="77"/>
      <c r="B15" s="10" t="s">
        <v>19</v>
      </c>
      <c r="C15" s="1"/>
      <c r="D15" s="1"/>
      <c r="E15" s="1"/>
      <c r="F15" s="1"/>
      <c r="G15" s="1"/>
      <c r="H15" s="1"/>
      <c r="I15" s="1"/>
      <c r="K15" s="1"/>
      <c r="L15" s="1"/>
      <c r="M15" s="1"/>
      <c r="N15" s="1"/>
      <c r="O15" s="8" t="s">
        <v>20</v>
      </c>
      <c r="P15" s="4"/>
      <c r="Q15" s="4"/>
      <c r="R15" s="4"/>
      <c r="S15" s="4"/>
      <c r="T15" s="4"/>
      <c r="U15" s="4"/>
      <c r="V15" s="1"/>
      <c r="W15" s="1"/>
      <c r="X15" s="1"/>
      <c r="Y15" s="1"/>
    </row>
    <row r="16" spans="1:25" ht="18" x14ac:dyDescent="0.25">
      <c r="A16" s="77"/>
      <c r="B16" s="10" t="s">
        <v>21</v>
      </c>
      <c r="C16" s="1"/>
      <c r="D16" s="1"/>
      <c r="E16" s="1"/>
      <c r="F16" s="1"/>
      <c r="G16" s="1"/>
      <c r="H16" s="1"/>
      <c r="I16" s="1"/>
      <c r="K16" s="1"/>
      <c r="L16" s="1"/>
      <c r="M16" s="1"/>
      <c r="N16" s="1"/>
      <c r="O16" s="8" t="s">
        <v>22</v>
      </c>
      <c r="P16" s="4"/>
      <c r="Q16" s="4"/>
      <c r="R16" s="4"/>
      <c r="S16" s="4"/>
      <c r="T16" s="4"/>
      <c r="U16" s="4"/>
      <c r="V16" s="1"/>
      <c r="W16" s="1"/>
      <c r="X16" s="1"/>
      <c r="Y16" s="1"/>
    </row>
    <row r="17" spans="1:25" ht="18" x14ac:dyDescent="0.25">
      <c r="A17" s="77"/>
      <c r="B17" s="10" t="s">
        <v>23</v>
      </c>
      <c r="C17" s="1"/>
      <c r="D17" s="1"/>
      <c r="E17" s="1"/>
      <c r="F17" s="1"/>
      <c r="G17" s="1"/>
      <c r="H17" s="1"/>
      <c r="I17" s="1"/>
      <c r="K17" s="1"/>
      <c r="L17" s="1"/>
      <c r="M17" s="1"/>
      <c r="N17" s="1"/>
      <c r="O17" s="6"/>
      <c r="P17" s="4"/>
      <c r="Q17" s="4"/>
      <c r="R17" s="4"/>
      <c r="S17" s="4"/>
      <c r="T17" s="4"/>
      <c r="U17" s="4"/>
      <c r="V17" s="1"/>
      <c r="W17" s="1"/>
      <c r="X17" s="1"/>
      <c r="Y17" s="1"/>
    </row>
    <row r="18" spans="1:25" ht="18" x14ac:dyDescent="0.25">
      <c r="A18" s="77"/>
      <c r="B18" s="10" t="s">
        <v>24</v>
      </c>
      <c r="C18" s="1"/>
      <c r="D18" s="1"/>
      <c r="E18" s="1"/>
      <c r="F18" s="1"/>
      <c r="G18" s="1"/>
      <c r="H18" s="1"/>
      <c r="I18" s="1"/>
      <c r="K18" s="1"/>
      <c r="L18" s="1"/>
      <c r="M18" s="1"/>
      <c r="N18" s="1"/>
      <c r="O18" s="8" t="s">
        <v>25</v>
      </c>
      <c r="P18" s="4"/>
      <c r="Q18" s="4"/>
      <c r="R18" s="4"/>
      <c r="S18" s="4"/>
      <c r="T18" s="4"/>
      <c r="U18" s="4"/>
      <c r="V18" s="1"/>
      <c r="W18" s="1"/>
      <c r="X18" s="1"/>
      <c r="Y18" s="1"/>
    </row>
    <row r="19" spans="1:25" ht="18" x14ac:dyDescent="0.25">
      <c r="A19" s="9"/>
      <c r="B19" s="76"/>
      <c r="C19" s="77"/>
      <c r="D19" s="77"/>
      <c r="E19" s="77"/>
      <c r="F19" s="77"/>
      <c r="G19" s="1"/>
      <c r="H19" s="1"/>
      <c r="I19" s="1"/>
      <c r="K19" s="1"/>
      <c r="L19" s="1"/>
      <c r="M19" s="1"/>
      <c r="N19" s="1"/>
      <c r="O19" s="6"/>
      <c r="P19" s="4"/>
      <c r="Q19" s="4"/>
      <c r="R19" s="4"/>
      <c r="S19" s="4"/>
      <c r="T19" s="4"/>
      <c r="U19" s="4"/>
      <c r="V19" s="1"/>
      <c r="W19" s="1"/>
      <c r="X19" s="1"/>
      <c r="Y19" s="1"/>
    </row>
    <row r="20" spans="1:25" ht="18" x14ac:dyDescent="0.25">
      <c r="A20" s="11" t="s">
        <v>1</v>
      </c>
      <c r="B20" s="1" t="s">
        <v>26</v>
      </c>
      <c r="C20" s="1"/>
      <c r="D20" s="1"/>
      <c r="E20" s="1"/>
      <c r="F20" s="1"/>
      <c r="G20" s="1"/>
      <c r="H20" s="1"/>
      <c r="I20" s="1"/>
      <c r="K20" s="1"/>
      <c r="L20" s="1"/>
      <c r="M20" s="1"/>
      <c r="N20" s="1"/>
      <c r="O20" s="8" t="s">
        <v>27</v>
      </c>
      <c r="P20" s="4"/>
      <c r="Q20" s="4"/>
      <c r="R20" s="4"/>
      <c r="S20" s="4"/>
      <c r="T20" s="4"/>
      <c r="U20" s="4"/>
      <c r="V20" s="1"/>
      <c r="W20" s="1"/>
      <c r="X20" s="1"/>
      <c r="Y20" s="1"/>
    </row>
    <row r="21" spans="1:25" ht="18" x14ac:dyDescent="0.25">
      <c r="A21" s="11" t="s">
        <v>2</v>
      </c>
      <c r="B21" s="1" t="s">
        <v>28</v>
      </c>
      <c r="C21" s="1"/>
      <c r="D21" s="1"/>
      <c r="E21" s="1"/>
      <c r="F21" s="1"/>
      <c r="G21" s="1"/>
      <c r="H21" s="1" t="s">
        <v>29</v>
      </c>
      <c r="I21" s="1"/>
      <c r="K21" s="1"/>
      <c r="L21" s="1"/>
      <c r="M21" s="1"/>
      <c r="N21" s="1"/>
      <c r="O21" s="8" t="s">
        <v>30</v>
      </c>
      <c r="P21" s="4"/>
      <c r="Q21" s="4"/>
      <c r="R21" s="4"/>
      <c r="S21" s="4"/>
      <c r="T21" s="4"/>
      <c r="U21" s="4"/>
      <c r="V21" s="1"/>
      <c r="W21" s="1"/>
      <c r="X21" s="1"/>
      <c r="Y21" s="1"/>
    </row>
    <row r="22" spans="1:25" ht="18" x14ac:dyDescent="0.25">
      <c r="A22" s="11"/>
      <c r="B22" s="1"/>
      <c r="C22" s="1"/>
      <c r="D22" s="1"/>
      <c r="E22" s="1"/>
      <c r="F22" s="1"/>
      <c r="G22" s="1"/>
      <c r="H22" s="1"/>
      <c r="I22" s="1"/>
      <c r="K22" s="1"/>
      <c r="L22" s="1"/>
      <c r="M22" s="1"/>
      <c r="N22" s="1"/>
      <c r="O22" s="6"/>
      <c r="P22" s="4"/>
      <c r="Q22" s="4"/>
      <c r="R22" s="4"/>
      <c r="S22" s="4"/>
      <c r="T22" s="4"/>
      <c r="U22" s="4"/>
      <c r="V22" s="1"/>
      <c r="W22" s="1"/>
      <c r="X22" s="1"/>
      <c r="Y22" s="1"/>
    </row>
    <row r="23" spans="1:25" ht="18" x14ac:dyDescent="0.25">
      <c r="A23" s="11" t="s">
        <v>3</v>
      </c>
      <c r="B23" s="1" t="s">
        <v>31</v>
      </c>
      <c r="C23" s="1"/>
      <c r="D23" s="1"/>
      <c r="E23" s="1"/>
      <c r="F23" s="1"/>
      <c r="G23" s="1"/>
      <c r="H23" s="1"/>
      <c r="I23" s="1"/>
      <c r="K23" s="1"/>
      <c r="L23" s="1"/>
      <c r="M23" s="1"/>
      <c r="N23" s="1"/>
      <c r="O23" s="8" t="s">
        <v>32</v>
      </c>
      <c r="P23" s="4"/>
      <c r="Q23" s="4"/>
      <c r="R23" s="4"/>
      <c r="S23" s="4"/>
      <c r="T23" s="4"/>
      <c r="U23" s="4"/>
      <c r="V23" s="1"/>
      <c r="W23" s="1"/>
      <c r="X23" s="1"/>
      <c r="Y23" s="1"/>
    </row>
    <row r="24" spans="1:25" ht="18" x14ac:dyDescent="0.25">
      <c r="A24" s="9"/>
      <c r="B24" s="76"/>
      <c r="C24" s="77"/>
      <c r="D24" s="77"/>
      <c r="E24" s="77"/>
      <c r="F24" s="77"/>
      <c r="G24" s="1"/>
      <c r="H24" s="1"/>
      <c r="I24" s="1"/>
      <c r="K24" s="1"/>
      <c r="L24" s="1"/>
      <c r="M24" s="1"/>
      <c r="N24" s="1"/>
      <c r="O24" s="6"/>
      <c r="P24" s="4"/>
      <c r="Q24" s="4"/>
      <c r="R24" s="4"/>
      <c r="S24" s="4"/>
      <c r="T24" s="4"/>
      <c r="U24" s="4"/>
      <c r="V24" s="1"/>
      <c r="W24" s="1"/>
      <c r="X24" s="1"/>
      <c r="Y24" s="1"/>
    </row>
    <row r="25" spans="1:25" ht="18" x14ac:dyDescent="0.25">
      <c r="A25" s="90" t="s">
        <v>33</v>
      </c>
      <c r="B25" s="1"/>
      <c r="C25" s="1" t="s">
        <v>34</v>
      </c>
      <c r="D25" s="1"/>
      <c r="E25" s="1"/>
      <c r="F25" s="1"/>
      <c r="G25" s="1"/>
      <c r="H25" s="1"/>
      <c r="I25" s="1"/>
      <c r="K25" s="1"/>
      <c r="L25" s="1"/>
      <c r="M25" s="1"/>
      <c r="N25" s="1"/>
      <c r="O25" s="8" t="s">
        <v>35</v>
      </c>
      <c r="P25" s="4"/>
      <c r="Q25" s="4"/>
      <c r="R25" s="4"/>
      <c r="S25" s="4"/>
      <c r="T25" s="4"/>
      <c r="U25" s="4"/>
      <c r="V25" s="1"/>
      <c r="W25" s="1"/>
      <c r="X25" s="1"/>
      <c r="Y25" s="1"/>
    </row>
    <row r="26" spans="1:25" ht="18" x14ac:dyDescent="0.25">
      <c r="A26" s="77"/>
      <c r="B26" s="1"/>
      <c r="C26" s="1" t="s">
        <v>36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6"/>
      <c r="P26" s="4"/>
      <c r="Q26" s="4"/>
      <c r="R26" s="4"/>
      <c r="S26" s="4"/>
      <c r="T26" s="4"/>
      <c r="U26" s="4"/>
      <c r="V26" s="1"/>
      <c r="W26" s="1"/>
      <c r="X26" s="1"/>
      <c r="Y26" s="1"/>
    </row>
    <row r="27" spans="1:25" ht="18" x14ac:dyDescent="0.25">
      <c r="A27" s="9"/>
      <c r="B27" s="76"/>
      <c r="C27" s="77"/>
      <c r="D27" s="77"/>
      <c r="E27" s="77"/>
      <c r="F27" s="77"/>
      <c r="G27" s="1"/>
      <c r="H27" s="1"/>
      <c r="I27" s="1"/>
      <c r="J27" s="1"/>
      <c r="K27" s="1"/>
      <c r="L27" s="1"/>
      <c r="M27" s="1"/>
      <c r="N27" s="1"/>
      <c r="O27" s="8" t="s">
        <v>37</v>
      </c>
      <c r="P27" s="4"/>
      <c r="Q27" s="4"/>
      <c r="R27" s="4"/>
      <c r="S27" s="4"/>
      <c r="T27" s="4"/>
      <c r="U27" s="4"/>
      <c r="V27" s="1"/>
      <c r="W27" s="1"/>
      <c r="X27" s="1"/>
      <c r="Y27" s="1"/>
    </row>
    <row r="28" spans="1:25" ht="1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8" t="s">
        <v>38</v>
      </c>
      <c r="P28" s="4"/>
      <c r="Q28" s="4"/>
      <c r="R28" s="4"/>
      <c r="S28" s="4"/>
      <c r="T28" s="4"/>
      <c r="U28" s="4"/>
      <c r="V28" s="1"/>
      <c r="W28" s="1"/>
      <c r="X28" s="1"/>
      <c r="Y28" s="1"/>
    </row>
    <row r="29" spans="1:25" ht="18" x14ac:dyDescent="0.25">
      <c r="A29" s="11" t="s">
        <v>39</v>
      </c>
      <c r="B29" s="1" t="s">
        <v>40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6"/>
      <c r="P29" s="4"/>
      <c r="Q29" s="4"/>
      <c r="R29" s="4"/>
      <c r="S29" s="4"/>
      <c r="T29" s="4"/>
      <c r="U29" s="4"/>
      <c r="V29" s="1"/>
      <c r="W29" s="1"/>
      <c r="X29" s="1"/>
      <c r="Y29" s="1"/>
    </row>
    <row r="30" spans="1:25" ht="1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8" t="s">
        <v>41</v>
      </c>
      <c r="P30" s="4"/>
      <c r="Q30" s="4"/>
      <c r="R30" s="4"/>
      <c r="S30" s="4"/>
      <c r="T30" s="4"/>
      <c r="U30" s="4"/>
      <c r="V30" s="1"/>
      <c r="W30" s="1"/>
      <c r="X30" s="1"/>
      <c r="Y30" s="1"/>
    </row>
    <row r="31" spans="1:25" ht="18" x14ac:dyDescent="0.25">
      <c r="A31" s="1"/>
      <c r="B31" s="1"/>
      <c r="C31" s="1"/>
      <c r="D31" s="12" t="s">
        <v>42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8" t="s">
        <v>43</v>
      </c>
      <c r="P31" s="4"/>
      <c r="Q31" s="4"/>
      <c r="R31" s="4"/>
      <c r="S31" s="4"/>
      <c r="T31" s="4"/>
      <c r="U31" s="4"/>
      <c r="V31" s="1"/>
      <c r="W31" s="1"/>
      <c r="X31" s="1"/>
      <c r="Y31" s="1"/>
    </row>
    <row r="32" spans="1:25" ht="18" x14ac:dyDescent="0.25">
      <c r="A32" s="11" t="s">
        <v>44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6"/>
      <c r="P32" s="4"/>
      <c r="Q32" s="4"/>
      <c r="R32" s="4"/>
      <c r="S32" s="4"/>
      <c r="T32" s="4"/>
      <c r="U32" s="4"/>
      <c r="V32" s="1"/>
      <c r="W32" s="1"/>
      <c r="X32" s="1"/>
      <c r="Y32" s="1"/>
    </row>
    <row r="33" spans="1:25" ht="18" x14ac:dyDescent="0.25">
      <c r="A33" s="13" t="s">
        <v>45</v>
      </c>
      <c r="B33" s="1" t="s">
        <v>46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8" t="s">
        <v>47</v>
      </c>
      <c r="P33" s="4"/>
      <c r="Q33" s="4"/>
      <c r="R33" s="4"/>
      <c r="S33" s="4"/>
      <c r="T33" s="4"/>
      <c r="U33" s="4"/>
      <c r="V33" s="1"/>
      <c r="W33" s="1"/>
      <c r="X33" s="1"/>
      <c r="Y33" s="1"/>
    </row>
    <row r="34" spans="1:25" ht="18" x14ac:dyDescent="0.25">
      <c r="A34" s="13" t="s">
        <v>48</v>
      </c>
      <c r="B34" s="1" t="s">
        <v>49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6"/>
      <c r="P34" s="4"/>
      <c r="Q34" s="4"/>
      <c r="R34" s="4"/>
      <c r="S34" s="4"/>
      <c r="T34" s="4"/>
      <c r="U34" s="4"/>
      <c r="V34" s="1"/>
      <c r="W34" s="1"/>
      <c r="X34" s="1"/>
      <c r="Y34" s="1"/>
    </row>
    <row r="35" spans="1:25" ht="18" x14ac:dyDescent="0.25">
      <c r="A35" s="13" t="s">
        <v>50</v>
      </c>
      <c r="B35" s="1" t="s">
        <v>51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8" t="s">
        <v>52</v>
      </c>
      <c r="P35" s="4"/>
      <c r="Q35" s="4"/>
      <c r="R35" s="4"/>
      <c r="S35" s="4"/>
      <c r="T35" s="4"/>
      <c r="U35" s="4"/>
      <c r="V35" s="1"/>
      <c r="W35" s="1"/>
      <c r="X35" s="1"/>
      <c r="Y35" s="1"/>
    </row>
    <row r="36" spans="1:25" ht="18" x14ac:dyDescent="0.25">
      <c r="A36" s="13" t="s">
        <v>53</v>
      </c>
      <c r="B36" s="1" t="s">
        <v>54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6"/>
      <c r="P36" s="4"/>
      <c r="Q36" s="4"/>
      <c r="R36" s="4"/>
      <c r="S36" s="4"/>
      <c r="T36" s="4"/>
      <c r="U36" s="4"/>
      <c r="V36" s="1"/>
      <c r="W36" s="1"/>
      <c r="X36" s="1"/>
      <c r="Y36" s="1"/>
    </row>
    <row r="37" spans="1:25" ht="18" x14ac:dyDescent="0.25">
      <c r="A37" s="13" t="s">
        <v>55</v>
      </c>
      <c r="B37" s="1" t="s">
        <v>56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8" t="s">
        <v>57</v>
      </c>
      <c r="P37" s="4"/>
      <c r="Q37" s="4"/>
      <c r="R37" s="4"/>
      <c r="S37" s="4"/>
      <c r="T37" s="4"/>
      <c r="U37" s="4"/>
      <c r="V37" s="1"/>
      <c r="W37" s="1"/>
      <c r="X37" s="1"/>
      <c r="Y37" s="1"/>
    </row>
    <row r="38" spans="1:25" ht="1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6"/>
      <c r="P38" s="4"/>
      <c r="Q38" s="4"/>
      <c r="R38" s="4"/>
      <c r="S38" s="4"/>
      <c r="T38" s="4"/>
      <c r="U38" s="4"/>
      <c r="V38" s="1"/>
      <c r="W38" s="1"/>
      <c r="X38" s="1"/>
      <c r="Y38" s="1"/>
    </row>
    <row r="39" spans="1:25" ht="1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8" t="s">
        <v>58</v>
      </c>
      <c r="P39" s="4"/>
      <c r="Q39" s="4"/>
      <c r="R39" s="4"/>
      <c r="S39" s="4"/>
      <c r="T39" s="4"/>
      <c r="U39" s="4"/>
      <c r="V39" s="1"/>
      <c r="W39" s="1"/>
      <c r="X39" s="1"/>
      <c r="Y39" s="1"/>
    </row>
    <row r="40" spans="1:25" ht="18" x14ac:dyDescent="0.25">
      <c r="A40" s="11" t="s">
        <v>59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6"/>
      <c r="P40" s="4"/>
      <c r="Q40" s="4"/>
      <c r="R40" s="4"/>
      <c r="S40" s="4"/>
      <c r="T40" s="4"/>
      <c r="U40" s="4"/>
      <c r="V40" s="1"/>
      <c r="W40" s="1"/>
      <c r="X40" s="1"/>
      <c r="Y40" s="1"/>
    </row>
    <row r="41" spans="1:25" ht="18" x14ac:dyDescent="0.25">
      <c r="A41" s="14" t="s">
        <v>60</v>
      </c>
      <c r="B41" s="1"/>
      <c r="C41" s="1" t="s">
        <v>61</v>
      </c>
      <c r="D41" s="1"/>
      <c r="E41" s="1" t="s">
        <v>62</v>
      </c>
      <c r="F41" s="1"/>
      <c r="G41" s="1"/>
      <c r="H41" s="1"/>
      <c r="I41" s="1"/>
      <c r="J41" s="1"/>
      <c r="K41" s="1"/>
      <c r="L41" s="1"/>
      <c r="M41" s="1"/>
      <c r="N41" s="1"/>
      <c r="O41" s="8" t="s">
        <v>63</v>
      </c>
      <c r="P41" s="4"/>
      <c r="Q41" s="4"/>
      <c r="R41" s="4"/>
      <c r="S41" s="4"/>
      <c r="T41" s="4"/>
      <c r="U41" s="4"/>
      <c r="V41" s="1"/>
      <c r="W41" s="1"/>
      <c r="X41" s="1"/>
      <c r="Y41" s="1"/>
    </row>
    <row r="42" spans="1:25" ht="18" x14ac:dyDescent="0.25">
      <c r="A42" s="14" t="s">
        <v>64</v>
      </c>
      <c r="B42" s="1"/>
      <c r="C42" s="1" t="s">
        <v>65</v>
      </c>
      <c r="D42" s="1" t="s">
        <v>66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6"/>
      <c r="P42" s="4"/>
      <c r="Q42" s="4"/>
      <c r="R42" s="4"/>
      <c r="S42" s="4"/>
      <c r="T42" s="4"/>
      <c r="U42" s="4"/>
      <c r="V42" s="1"/>
      <c r="W42" s="1"/>
      <c r="X42" s="1"/>
      <c r="Y42" s="1"/>
    </row>
    <row r="43" spans="1:25" ht="18" x14ac:dyDescent="0.25">
      <c r="A43" s="1"/>
      <c r="B43" s="1"/>
      <c r="C43" s="1" t="s">
        <v>63</v>
      </c>
      <c r="D43" s="1" t="s">
        <v>67</v>
      </c>
      <c r="E43" s="1"/>
      <c r="F43" s="78" t="s">
        <v>68</v>
      </c>
      <c r="G43" s="79"/>
      <c r="H43" s="79"/>
      <c r="I43" s="79"/>
      <c r="J43" s="79"/>
      <c r="K43" s="79"/>
      <c r="L43" s="79"/>
      <c r="M43" s="80"/>
      <c r="N43" s="1"/>
      <c r="O43" s="8" t="s">
        <v>69</v>
      </c>
      <c r="P43" s="4"/>
      <c r="Q43" s="4"/>
      <c r="R43" s="4"/>
      <c r="S43" s="4"/>
      <c r="T43" s="4"/>
      <c r="U43" s="4"/>
      <c r="V43" s="1"/>
      <c r="W43" s="1"/>
      <c r="X43" s="1"/>
      <c r="Y43" s="1"/>
    </row>
    <row r="44" spans="1:25" ht="18" x14ac:dyDescent="0.25">
      <c r="A44" s="1"/>
      <c r="B44" s="1"/>
      <c r="C44" s="1" t="s">
        <v>70</v>
      </c>
      <c r="D44" s="1" t="s">
        <v>71</v>
      </c>
      <c r="E44" s="1"/>
      <c r="F44" s="81"/>
      <c r="G44" s="82"/>
      <c r="H44" s="82"/>
      <c r="I44" s="82"/>
      <c r="J44" s="82"/>
      <c r="K44" s="82"/>
      <c r="L44" s="82"/>
      <c r="M44" s="83"/>
      <c r="N44" s="1"/>
      <c r="O44" s="6"/>
      <c r="P44" s="4"/>
      <c r="Q44" s="4"/>
      <c r="R44" s="4"/>
      <c r="S44" s="4"/>
      <c r="T44" s="4"/>
      <c r="U44" s="4"/>
      <c r="V44" s="1"/>
      <c r="W44" s="1"/>
      <c r="X44" s="1"/>
      <c r="Y44" s="1"/>
    </row>
    <row r="45" spans="1:25" ht="1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8" t="s">
        <v>72</v>
      </c>
      <c r="P45" s="4"/>
      <c r="Q45" s="4"/>
      <c r="R45" s="4"/>
      <c r="S45" s="4"/>
      <c r="T45" s="4"/>
      <c r="U45" s="4"/>
      <c r="V45" s="1"/>
      <c r="W45" s="1"/>
      <c r="X45" s="1"/>
      <c r="Y45" s="1"/>
    </row>
    <row r="46" spans="1:25" ht="18" x14ac:dyDescent="0.25">
      <c r="A46" s="11" t="s">
        <v>7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6"/>
      <c r="P46" s="4"/>
      <c r="Q46" s="4"/>
      <c r="R46" s="4"/>
      <c r="S46" s="4"/>
      <c r="T46" s="4"/>
      <c r="U46" s="4"/>
      <c r="V46" s="1"/>
      <c r="W46" s="1"/>
      <c r="X46" s="1"/>
      <c r="Y46" s="1"/>
    </row>
    <row r="47" spans="1:25" ht="18" x14ac:dyDescent="0.25">
      <c r="A47" s="1" t="s">
        <v>73</v>
      </c>
      <c r="B47" s="1"/>
      <c r="C47" s="1"/>
      <c r="D47" s="1"/>
      <c r="E47" s="1" t="s">
        <v>74</v>
      </c>
      <c r="F47" s="1"/>
      <c r="G47" s="1"/>
      <c r="H47" s="1"/>
      <c r="I47" s="1"/>
      <c r="J47" s="1"/>
      <c r="K47" s="1"/>
      <c r="L47" s="1"/>
      <c r="M47" s="1"/>
      <c r="N47" s="1"/>
      <c r="O47" s="8" t="s">
        <v>75</v>
      </c>
      <c r="P47" s="4"/>
      <c r="Q47" s="4"/>
      <c r="R47" s="4"/>
      <c r="S47" s="4"/>
      <c r="T47" s="4"/>
      <c r="U47" s="4"/>
      <c r="V47" s="1"/>
      <c r="W47" s="1"/>
      <c r="X47" s="1"/>
      <c r="Y47" s="1"/>
    </row>
    <row r="48" spans="1:25" ht="23.25" x14ac:dyDescent="0.35">
      <c r="A48" s="1" t="s">
        <v>76</v>
      </c>
      <c r="B48" s="1"/>
      <c r="C48" s="1"/>
      <c r="D48" s="1"/>
      <c r="E48" s="1" t="s">
        <v>77</v>
      </c>
      <c r="F48" s="1"/>
      <c r="G48" s="1"/>
      <c r="H48" s="1"/>
      <c r="I48" s="1"/>
      <c r="J48" s="1"/>
      <c r="K48" s="1"/>
      <c r="L48" s="1"/>
      <c r="M48" s="1"/>
      <c r="N48" s="1"/>
      <c r="O48" s="3" t="s">
        <v>78</v>
      </c>
      <c r="P48" s="4"/>
      <c r="Q48" s="4"/>
      <c r="R48" s="4"/>
      <c r="S48" s="4"/>
      <c r="T48" s="4"/>
      <c r="U48" s="4"/>
      <c r="V48" s="1"/>
      <c r="W48" s="1"/>
      <c r="X48" s="1"/>
      <c r="Y48" s="1"/>
    </row>
    <row r="49" spans="1:25" ht="23.25" x14ac:dyDescent="0.35">
      <c r="A49" s="84" t="s">
        <v>79</v>
      </c>
      <c r="B49" s="77"/>
      <c r="C49" s="1"/>
      <c r="D49" s="1" t="s">
        <v>80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5"/>
      <c r="P49" s="4"/>
      <c r="Q49" s="4"/>
      <c r="R49" s="4"/>
      <c r="S49" s="4"/>
      <c r="T49" s="4"/>
      <c r="U49" s="4"/>
      <c r="V49" s="1"/>
      <c r="W49" s="1"/>
      <c r="X49" s="1"/>
      <c r="Y49" s="1"/>
    </row>
    <row r="50" spans="1:25" ht="23.25" x14ac:dyDescent="0.35">
      <c r="A50" s="84" t="s">
        <v>81</v>
      </c>
      <c r="B50" s="77"/>
      <c r="C50" s="1"/>
      <c r="D50" s="1" t="s">
        <v>82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3" t="s">
        <v>83</v>
      </c>
      <c r="P50" s="4"/>
      <c r="Q50" s="4"/>
      <c r="R50" s="4"/>
      <c r="S50" s="4"/>
      <c r="T50" s="4"/>
      <c r="U50" s="4"/>
      <c r="V50" s="1"/>
      <c r="W50" s="1"/>
      <c r="X50" s="1"/>
      <c r="Y50" s="1"/>
    </row>
    <row r="51" spans="1:25" ht="23.25" x14ac:dyDescent="0.35">
      <c r="A51" s="1" t="s">
        <v>84</v>
      </c>
      <c r="B51" s="1"/>
      <c r="C51" s="1"/>
      <c r="D51" s="1" t="s">
        <v>85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5"/>
      <c r="P51" s="4"/>
      <c r="Q51" s="4"/>
      <c r="R51" s="4"/>
      <c r="S51" s="4"/>
      <c r="T51" s="4"/>
      <c r="U51" s="4"/>
      <c r="V51" s="1"/>
      <c r="W51" s="1"/>
      <c r="X51" s="1"/>
      <c r="Y51" s="1"/>
    </row>
    <row r="52" spans="1:25" ht="23.25" x14ac:dyDescent="0.35">
      <c r="A52" s="1" t="s">
        <v>86</v>
      </c>
      <c r="B52" s="1"/>
      <c r="C52" s="1"/>
      <c r="D52" s="1" t="s">
        <v>87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3" t="s">
        <v>88</v>
      </c>
      <c r="P52" s="4"/>
      <c r="Q52" s="4"/>
      <c r="R52" s="4"/>
      <c r="S52" s="4"/>
      <c r="T52" s="4"/>
      <c r="U52" s="4"/>
      <c r="V52" s="1"/>
      <c r="W52" s="1"/>
      <c r="X52" s="1"/>
      <c r="Y52" s="1"/>
    </row>
    <row r="53" spans="1:25" ht="23.25" x14ac:dyDescent="0.35">
      <c r="A53" s="1" t="s">
        <v>89</v>
      </c>
      <c r="B53" s="1"/>
      <c r="C53" s="1"/>
      <c r="D53" s="1" t="s">
        <v>90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5"/>
      <c r="P53" s="4"/>
      <c r="Q53" s="4"/>
      <c r="R53" s="4"/>
      <c r="S53" s="4"/>
      <c r="T53" s="4"/>
      <c r="U53" s="4"/>
      <c r="V53" s="1"/>
      <c r="W53" s="1"/>
      <c r="X53" s="1"/>
      <c r="Y53" s="1"/>
    </row>
    <row r="54" spans="1:25" ht="23.25" x14ac:dyDescent="0.35">
      <c r="A54" s="1" t="s">
        <v>91</v>
      </c>
      <c r="B54" s="1"/>
      <c r="C54" s="1"/>
      <c r="D54" s="1" t="s">
        <v>92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3" t="s">
        <v>93</v>
      </c>
      <c r="P54" s="4"/>
      <c r="Q54" s="4"/>
      <c r="R54" s="4"/>
      <c r="S54" s="4"/>
      <c r="T54" s="4"/>
      <c r="U54" s="4"/>
      <c r="V54" s="1"/>
      <c r="W54" s="1"/>
      <c r="X54" s="1"/>
      <c r="Y54" s="1"/>
    </row>
    <row r="55" spans="1:25" ht="23.2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5"/>
      <c r="P55" s="4"/>
      <c r="Q55" s="4"/>
      <c r="R55" s="4"/>
      <c r="S55" s="4"/>
      <c r="T55" s="4"/>
      <c r="U55" s="4"/>
      <c r="V55" s="1"/>
      <c r="W55" s="1"/>
      <c r="X55" s="1"/>
      <c r="Y55" s="1"/>
    </row>
    <row r="56" spans="1:25" ht="23.2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3" t="s">
        <v>94</v>
      </c>
      <c r="P56" s="4"/>
      <c r="Q56" s="4"/>
      <c r="R56" s="4"/>
      <c r="S56" s="4"/>
      <c r="T56" s="4"/>
      <c r="U56" s="4"/>
      <c r="V56" s="1"/>
      <c r="W56" s="1"/>
      <c r="X56" s="1"/>
      <c r="Y56" s="1"/>
    </row>
    <row r="57" spans="1:25" ht="23.25" x14ac:dyDescent="0.35">
      <c r="A57" s="11" t="s">
        <v>9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5"/>
      <c r="P57" s="4"/>
      <c r="Q57" s="4"/>
      <c r="R57" s="4"/>
      <c r="S57" s="4"/>
      <c r="T57" s="4"/>
      <c r="U57" s="4"/>
      <c r="V57" s="1"/>
      <c r="W57" s="1"/>
      <c r="X57" s="1"/>
      <c r="Y57" s="1"/>
    </row>
    <row r="58" spans="1:25" ht="23.25" x14ac:dyDescent="0.35">
      <c r="A58" s="1" t="s">
        <v>95</v>
      </c>
      <c r="B58" s="1"/>
      <c r="C58" s="1"/>
      <c r="D58" s="1" t="s">
        <v>96</v>
      </c>
      <c r="E58" s="1"/>
      <c r="F58" s="15" t="s">
        <v>97</v>
      </c>
      <c r="G58" s="16"/>
      <c r="H58" s="16"/>
      <c r="I58" s="16"/>
      <c r="J58" s="17"/>
      <c r="K58" s="16"/>
      <c r="L58" s="17"/>
      <c r="M58" s="1"/>
      <c r="N58" s="1"/>
      <c r="O58" s="3" t="s">
        <v>98</v>
      </c>
      <c r="P58" s="4"/>
      <c r="Q58" s="4"/>
      <c r="R58" s="4"/>
      <c r="S58" s="4"/>
      <c r="T58" s="4"/>
      <c r="U58" s="4"/>
      <c r="V58" s="1"/>
      <c r="W58" s="1"/>
      <c r="X58" s="1"/>
      <c r="Y58" s="1"/>
    </row>
    <row r="59" spans="1:25" ht="12.75" x14ac:dyDescent="0.2">
      <c r="A59" s="1" t="s">
        <v>99</v>
      </c>
      <c r="B59" s="1"/>
      <c r="C59" s="1"/>
      <c r="D59" s="1" t="s">
        <v>100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4"/>
      <c r="P59" s="4"/>
      <c r="Q59" s="4"/>
      <c r="R59" s="4"/>
      <c r="S59" s="4"/>
      <c r="T59" s="4"/>
      <c r="U59" s="4"/>
      <c r="V59" s="1"/>
      <c r="W59" s="1"/>
      <c r="X59" s="1"/>
      <c r="Y59" s="1"/>
    </row>
    <row r="60" spans="1:25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75" x14ac:dyDescent="0.2">
      <c r="A61" s="11" t="s">
        <v>101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75" x14ac:dyDescent="0.2">
      <c r="A62" s="1" t="s">
        <v>102</v>
      </c>
      <c r="B62" s="1"/>
      <c r="C62" s="1"/>
      <c r="D62" s="1" t="s">
        <v>103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75" x14ac:dyDescent="0.2">
      <c r="A63" s="1" t="s">
        <v>104</v>
      </c>
      <c r="B63" s="1"/>
      <c r="C63" s="1"/>
      <c r="D63" s="1" t="s">
        <v>105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75" x14ac:dyDescent="0.2">
      <c r="A64" s="1" t="s">
        <v>106</v>
      </c>
      <c r="B64" s="1"/>
      <c r="C64" s="1"/>
      <c r="D64" s="1" t="s">
        <v>107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2.7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2.75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ht="12.75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ht="12.75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spans="1:25" ht="12.75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spans="1:25" ht="12.75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spans="1:25" ht="12.75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spans="1:25" ht="12.75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</sheetData>
  <mergeCells count="11">
    <mergeCell ref="B27:F27"/>
    <mergeCell ref="F43:M44"/>
    <mergeCell ref="A49:B49"/>
    <mergeCell ref="A50:B50"/>
    <mergeCell ref="A1:D1"/>
    <mergeCell ref="B11:F11"/>
    <mergeCell ref="B12:F12"/>
    <mergeCell ref="A13:A18"/>
    <mergeCell ref="B19:F19"/>
    <mergeCell ref="B24:F24"/>
    <mergeCell ref="A25:A26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39966"/>
  </sheetPr>
  <dimension ref="A1:E998"/>
  <sheetViews>
    <sheetView workbookViewId="0">
      <selection activeCell="A4" sqref="A4:D13"/>
    </sheetView>
  </sheetViews>
  <sheetFormatPr defaultColWidth="12.5703125" defaultRowHeight="15" customHeight="1" x14ac:dyDescent="0.2"/>
  <cols>
    <col min="1" max="1" width="24.28515625" customWidth="1"/>
    <col min="2" max="2" width="8.28515625" customWidth="1"/>
    <col min="3" max="3" width="8" customWidth="1"/>
    <col min="4" max="4" width="12.28515625" customWidth="1"/>
    <col min="5" max="5" width="8" customWidth="1"/>
    <col min="6" max="6" width="25.5703125" customWidth="1"/>
    <col min="7" max="26" width="8" customWidth="1"/>
  </cols>
  <sheetData>
    <row r="1" spans="1:5" ht="12.75" customHeight="1" x14ac:dyDescent="0.2">
      <c r="A1" s="91" t="s">
        <v>108</v>
      </c>
      <c r="B1" s="77"/>
    </row>
    <row r="2" spans="1:5" ht="12.75" customHeight="1" x14ac:dyDescent="0.2"/>
    <row r="3" spans="1:5" ht="12.75" customHeight="1" thickBot="1" x14ac:dyDescent="0.25"/>
    <row r="4" spans="1:5" ht="12.75" customHeight="1" thickTop="1" x14ac:dyDescent="0.2">
      <c r="A4" s="92" t="s">
        <v>109</v>
      </c>
      <c r="B4" s="93"/>
      <c r="C4" s="93"/>
      <c r="D4" s="94"/>
      <c r="E4" s="20"/>
    </row>
    <row r="5" spans="1:5" ht="12.75" customHeight="1" x14ac:dyDescent="0.2">
      <c r="A5" s="63" t="s">
        <v>110</v>
      </c>
      <c r="B5" s="19" t="s">
        <v>111</v>
      </c>
      <c r="C5" s="19" t="s">
        <v>112</v>
      </c>
      <c r="D5" s="64" t="s">
        <v>113</v>
      </c>
      <c r="E5" s="20"/>
    </row>
    <row r="6" spans="1:5" ht="12.75" customHeight="1" x14ac:dyDescent="0.2">
      <c r="A6" s="63" t="s">
        <v>114</v>
      </c>
      <c r="B6" s="19" t="s">
        <v>111</v>
      </c>
      <c r="C6" s="19">
        <v>8.5</v>
      </c>
      <c r="D6" s="64">
        <v>1.3</v>
      </c>
      <c r="E6" s="20"/>
    </row>
    <row r="7" spans="1:5" ht="12.75" customHeight="1" x14ac:dyDescent="0.2">
      <c r="A7" s="63" t="s">
        <v>115</v>
      </c>
      <c r="B7" s="19" t="s">
        <v>111</v>
      </c>
      <c r="C7" s="19">
        <v>4.3499999999999996</v>
      </c>
      <c r="D7" s="64">
        <v>1.3</v>
      </c>
      <c r="E7" s="20"/>
    </row>
    <row r="8" spans="1:5" ht="12.75" customHeight="1" x14ac:dyDescent="0.2">
      <c r="A8" s="63" t="s">
        <v>116</v>
      </c>
      <c r="B8" s="19" t="s">
        <v>111</v>
      </c>
      <c r="C8" s="19">
        <v>5.12</v>
      </c>
      <c r="D8" s="64">
        <v>2.2000000000000002</v>
      </c>
      <c r="E8" s="20"/>
    </row>
    <row r="9" spans="1:5" ht="12.75" customHeight="1" x14ac:dyDescent="0.2">
      <c r="A9" s="63" t="s">
        <v>117</v>
      </c>
      <c r="B9" s="19" t="s">
        <v>111</v>
      </c>
      <c r="C9" s="19">
        <v>6.85</v>
      </c>
      <c r="D9" s="64">
        <v>1.7</v>
      </c>
      <c r="E9" s="20"/>
    </row>
    <row r="10" spans="1:5" ht="12.75" customHeight="1" x14ac:dyDescent="0.2">
      <c r="A10" s="63" t="s">
        <v>118</v>
      </c>
      <c r="B10" s="19" t="s">
        <v>111</v>
      </c>
      <c r="C10" s="19">
        <v>7.62</v>
      </c>
      <c r="D10" s="64">
        <v>1.8</v>
      </c>
      <c r="E10" s="20"/>
    </row>
    <row r="11" spans="1:5" ht="12.75" customHeight="1" x14ac:dyDescent="0.2">
      <c r="A11" s="63" t="s">
        <v>119</v>
      </c>
      <c r="B11" s="19" t="s">
        <v>111</v>
      </c>
      <c r="C11" s="19">
        <v>6.25</v>
      </c>
      <c r="D11" s="64">
        <v>1.7</v>
      </c>
      <c r="E11" s="20"/>
    </row>
    <row r="12" spans="1:5" ht="12.75" customHeight="1" x14ac:dyDescent="0.2">
      <c r="A12" s="63" t="s">
        <v>120</v>
      </c>
      <c r="B12" s="19" t="s">
        <v>111</v>
      </c>
      <c r="C12" s="19">
        <v>4.5599999999999996</v>
      </c>
      <c r="D12" s="64">
        <v>1.3</v>
      </c>
      <c r="E12" s="20"/>
    </row>
    <row r="13" spans="1:5" ht="12.75" customHeight="1" thickBot="1" x14ac:dyDescent="0.25">
      <c r="A13" s="65" t="s">
        <v>121</v>
      </c>
      <c r="B13" s="66" t="s">
        <v>111</v>
      </c>
      <c r="C13" s="66">
        <v>5.22</v>
      </c>
      <c r="D13" s="67">
        <v>1.3</v>
      </c>
      <c r="E13" s="20"/>
    </row>
    <row r="14" spans="1:5" ht="12.75" customHeight="1" thickTop="1" x14ac:dyDescent="0.2">
      <c r="A14" s="20"/>
      <c r="B14" s="20"/>
      <c r="C14" s="20"/>
      <c r="D14" s="20"/>
      <c r="E14" s="20"/>
    </row>
    <row r="15" spans="1:5" ht="12.75" customHeight="1" x14ac:dyDescent="0.2"/>
    <row r="16" spans="1:5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spans="1:5" ht="12.75" customHeight="1" x14ac:dyDescent="0.2"/>
    <row r="34" spans="1:5" ht="12.75" customHeight="1" x14ac:dyDescent="0.2"/>
    <row r="35" spans="1:5" ht="12.75" customHeight="1" x14ac:dyDescent="0.2">
      <c r="A35" s="20"/>
      <c r="B35" s="20"/>
      <c r="C35" s="20"/>
      <c r="D35" s="20"/>
      <c r="E35" s="20"/>
    </row>
    <row r="36" spans="1:5" ht="12.75" customHeight="1" x14ac:dyDescent="0.2">
      <c r="A36" s="20"/>
      <c r="B36" s="20"/>
      <c r="C36" s="20"/>
      <c r="D36" s="20"/>
      <c r="E36" s="20"/>
    </row>
    <row r="37" spans="1:5" ht="46.5" customHeight="1" x14ac:dyDescent="0.2">
      <c r="A37" s="21"/>
      <c r="B37" s="21"/>
      <c r="C37" s="21"/>
      <c r="D37" s="21"/>
      <c r="E37" s="20"/>
    </row>
    <row r="38" spans="1:5" ht="15.75" customHeight="1" x14ac:dyDescent="0.25">
      <c r="A38" s="22"/>
      <c r="B38" s="22"/>
      <c r="C38" s="22"/>
      <c r="D38" s="22"/>
      <c r="E38" s="20"/>
    </row>
    <row r="39" spans="1:5" ht="12.75" customHeight="1" x14ac:dyDescent="0.2">
      <c r="A39" s="20"/>
      <c r="B39" s="20"/>
      <c r="C39" s="23"/>
      <c r="D39" s="23"/>
      <c r="E39" s="20"/>
    </row>
    <row r="40" spans="1:5" ht="12.75" customHeight="1" x14ac:dyDescent="0.2">
      <c r="A40" s="20"/>
      <c r="B40" s="20"/>
      <c r="C40" s="23"/>
      <c r="D40" s="23"/>
      <c r="E40" s="20"/>
    </row>
    <row r="41" spans="1:5" ht="12.75" customHeight="1" x14ac:dyDescent="0.2">
      <c r="A41" s="20"/>
      <c r="B41" s="20"/>
      <c r="C41" s="23"/>
      <c r="D41" s="23"/>
      <c r="E41" s="20"/>
    </row>
    <row r="42" spans="1:5" ht="12.75" customHeight="1" x14ac:dyDescent="0.2">
      <c r="A42" s="20"/>
      <c r="B42" s="20"/>
      <c r="C42" s="23"/>
      <c r="D42" s="23"/>
      <c r="E42" s="20"/>
    </row>
    <row r="43" spans="1:5" ht="12.75" customHeight="1" x14ac:dyDescent="0.2">
      <c r="A43" s="20"/>
      <c r="B43" s="20"/>
      <c r="C43" s="23"/>
      <c r="D43" s="23"/>
      <c r="E43" s="20"/>
    </row>
    <row r="44" spans="1:5" ht="12.75" customHeight="1" x14ac:dyDescent="0.2">
      <c r="A44" s="20"/>
      <c r="B44" s="20"/>
      <c r="C44" s="23"/>
      <c r="D44" s="23"/>
      <c r="E44" s="20"/>
    </row>
    <row r="45" spans="1:5" ht="12.75" customHeight="1" x14ac:dyDescent="0.2">
      <c r="A45" s="20"/>
      <c r="B45" s="20"/>
      <c r="C45" s="23"/>
      <c r="D45" s="23"/>
      <c r="E45" s="20"/>
    </row>
    <row r="46" spans="1:5" ht="12.75" customHeight="1" x14ac:dyDescent="0.2">
      <c r="A46" s="20"/>
      <c r="B46" s="20"/>
      <c r="C46" s="23"/>
      <c r="D46" s="23"/>
      <c r="E46" s="20"/>
    </row>
    <row r="47" spans="1:5" ht="12.75" customHeight="1" x14ac:dyDescent="0.2">
      <c r="A47" s="20"/>
      <c r="B47" s="20"/>
      <c r="C47" s="20"/>
      <c r="D47" s="20"/>
      <c r="E47" s="20"/>
    </row>
    <row r="48" spans="1:5" ht="12.75" customHeight="1" x14ac:dyDescent="0.2">
      <c r="A48" s="20"/>
      <c r="B48" s="20"/>
      <c r="C48" s="20"/>
      <c r="D48" s="20"/>
      <c r="E48" s="20"/>
    </row>
    <row r="49" spans="1:5" ht="12.75" customHeight="1" x14ac:dyDescent="0.2">
      <c r="A49" s="20"/>
      <c r="B49" s="20"/>
      <c r="C49" s="20"/>
      <c r="D49" s="20"/>
      <c r="E49" s="20"/>
    </row>
    <row r="50" spans="1:5" ht="12.75" customHeight="1" x14ac:dyDescent="0.2">
      <c r="A50" s="20"/>
      <c r="B50" s="20"/>
      <c r="C50" s="20"/>
      <c r="D50" s="20"/>
      <c r="E50" s="20"/>
    </row>
    <row r="51" spans="1:5" ht="12.75" customHeight="1" x14ac:dyDescent="0.2"/>
    <row r="52" spans="1:5" ht="12.75" customHeight="1" x14ac:dyDescent="0.2"/>
    <row r="53" spans="1:5" ht="12.75" customHeight="1" x14ac:dyDescent="0.2"/>
    <row r="54" spans="1:5" ht="12.75" customHeight="1" x14ac:dyDescent="0.2"/>
    <row r="55" spans="1:5" ht="12.75" customHeight="1" x14ac:dyDescent="0.2"/>
    <row r="56" spans="1:5" ht="12.75" customHeight="1" x14ac:dyDescent="0.2"/>
    <row r="57" spans="1:5" ht="12.75" customHeight="1" x14ac:dyDescent="0.2"/>
    <row r="58" spans="1:5" ht="12.75" customHeight="1" x14ac:dyDescent="0.2"/>
    <row r="59" spans="1:5" ht="12.75" customHeight="1" x14ac:dyDescent="0.2"/>
    <row r="60" spans="1:5" ht="12.75" customHeight="1" x14ac:dyDescent="0.2"/>
    <row r="61" spans="1:5" ht="12.75" customHeight="1" x14ac:dyDescent="0.2"/>
    <row r="62" spans="1:5" ht="12.75" customHeight="1" x14ac:dyDescent="0.2"/>
    <row r="63" spans="1:5" ht="12.75" customHeight="1" x14ac:dyDescent="0.2"/>
    <row r="64" spans="1:5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</sheetData>
  <mergeCells count="2">
    <mergeCell ref="A1:B1"/>
    <mergeCell ref="A4:D4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39966"/>
  </sheetPr>
  <dimension ref="A1:G1000"/>
  <sheetViews>
    <sheetView workbookViewId="0">
      <selection sqref="A1:B1"/>
    </sheetView>
  </sheetViews>
  <sheetFormatPr defaultColWidth="12.5703125" defaultRowHeight="15" customHeight="1" x14ac:dyDescent="0.2"/>
  <cols>
    <col min="1" max="1" width="24.28515625" customWidth="1"/>
    <col min="2" max="2" width="8.28515625" customWidth="1"/>
    <col min="3" max="3" width="8" customWidth="1"/>
    <col min="4" max="4" width="12.28515625" customWidth="1"/>
    <col min="5" max="5" width="8" customWidth="1"/>
    <col min="6" max="6" width="25.5703125" customWidth="1"/>
    <col min="7" max="26" width="8" customWidth="1"/>
  </cols>
  <sheetData>
    <row r="1" spans="1:5" ht="12.75" customHeight="1" x14ac:dyDescent="0.2">
      <c r="A1" s="91" t="s">
        <v>108</v>
      </c>
      <c r="B1" s="77"/>
    </row>
    <row r="2" spans="1:5" ht="12.75" customHeight="1" x14ac:dyDescent="0.2"/>
    <row r="3" spans="1:5" ht="12.75" customHeight="1" x14ac:dyDescent="0.2"/>
    <row r="4" spans="1:5" ht="12.75" customHeight="1" x14ac:dyDescent="0.2">
      <c r="A4" s="18" t="s">
        <v>109</v>
      </c>
      <c r="B4" s="19"/>
      <c r="C4" s="19"/>
      <c r="D4" s="19"/>
      <c r="E4" s="20"/>
    </row>
    <row r="5" spans="1:5" ht="12.75" customHeight="1" x14ac:dyDescent="0.2">
      <c r="A5" s="18"/>
      <c r="B5" s="19"/>
      <c r="C5" s="19"/>
      <c r="D5" s="19"/>
      <c r="E5" s="20"/>
    </row>
    <row r="6" spans="1:5" ht="12.75" customHeight="1" x14ac:dyDescent="0.2">
      <c r="A6" s="19" t="s">
        <v>110</v>
      </c>
      <c r="B6" s="19" t="s">
        <v>111</v>
      </c>
      <c r="C6" s="19" t="s">
        <v>112</v>
      </c>
      <c r="D6" s="19" t="s">
        <v>113</v>
      </c>
      <c r="E6" s="20"/>
    </row>
    <row r="7" spans="1:5" ht="12.75" customHeight="1" x14ac:dyDescent="0.2">
      <c r="A7" s="19"/>
      <c r="B7" s="19"/>
      <c r="C7" s="19"/>
      <c r="D7" s="19"/>
      <c r="E7" s="20"/>
    </row>
    <row r="8" spans="1:5" ht="12.75" customHeight="1" x14ac:dyDescent="0.2">
      <c r="A8" s="19" t="s">
        <v>114</v>
      </c>
      <c r="B8" s="19" t="s">
        <v>111</v>
      </c>
      <c r="C8" s="19">
        <v>8.5</v>
      </c>
      <c r="D8" s="19">
        <v>1.3</v>
      </c>
      <c r="E8" s="20"/>
    </row>
    <row r="9" spans="1:5" ht="12.75" customHeight="1" x14ac:dyDescent="0.2">
      <c r="A9" s="19" t="s">
        <v>115</v>
      </c>
      <c r="B9" s="19" t="s">
        <v>111</v>
      </c>
      <c r="C9" s="19">
        <v>4.3499999999999996</v>
      </c>
      <c r="D9" s="19">
        <v>1.3</v>
      </c>
      <c r="E9" s="20"/>
    </row>
    <row r="10" spans="1:5" ht="12.75" customHeight="1" x14ac:dyDescent="0.2">
      <c r="A10" s="19" t="s">
        <v>116</v>
      </c>
      <c r="B10" s="19" t="s">
        <v>111</v>
      </c>
      <c r="C10" s="19">
        <v>5.12</v>
      </c>
      <c r="D10" s="19">
        <v>2.2000000000000002</v>
      </c>
      <c r="E10" s="20"/>
    </row>
    <row r="11" spans="1:5" ht="12.75" customHeight="1" x14ac:dyDescent="0.2">
      <c r="A11" s="19" t="s">
        <v>117</v>
      </c>
      <c r="B11" s="19" t="s">
        <v>111</v>
      </c>
      <c r="C11" s="19">
        <v>6.85</v>
      </c>
      <c r="D11" s="19">
        <v>1.7</v>
      </c>
      <c r="E11" s="20"/>
    </row>
    <row r="12" spans="1:5" ht="12.75" customHeight="1" x14ac:dyDescent="0.2">
      <c r="A12" s="19" t="s">
        <v>118</v>
      </c>
      <c r="B12" s="19" t="s">
        <v>111</v>
      </c>
      <c r="C12" s="19">
        <v>7.62</v>
      </c>
      <c r="D12" s="19">
        <v>1.8</v>
      </c>
      <c r="E12" s="20"/>
    </row>
    <row r="13" spans="1:5" ht="12.75" customHeight="1" x14ac:dyDescent="0.2">
      <c r="A13" s="19" t="s">
        <v>119</v>
      </c>
      <c r="B13" s="19" t="s">
        <v>111</v>
      </c>
      <c r="C13" s="19">
        <v>6.25</v>
      </c>
      <c r="D13" s="19">
        <v>1.7</v>
      </c>
      <c r="E13" s="20"/>
    </row>
    <row r="14" spans="1:5" ht="12.75" customHeight="1" x14ac:dyDescent="0.2">
      <c r="A14" s="19" t="s">
        <v>120</v>
      </c>
      <c r="B14" s="19" t="s">
        <v>111</v>
      </c>
      <c r="C14" s="19">
        <v>4.5599999999999996</v>
      </c>
      <c r="D14" s="19">
        <v>1.3</v>
      </c>
      <c r="E14" s="20"/>
    </row>
    <row r="15" spans="1:5" ht="12.75" customHeight="1" x14ac:dyDescent="0.2">
      <c r="A15" s="19" t="s">
        <v>121</v>
      </c>
      <c r="B15" s="19" t="s">
        <v>111</v>
      </c>
      <c r="C15" s="19">
        <v>5.22</v>
      </c>
      <c r="D15" s="19">
        <v>1.3</v>
      </c>
      <c r="E15" s="20"/>
    </row>
    <row r="16" spans="1:5" ht="12.75" customHeight="1" x14ac:dyDescent="0.2">
      <c r="A16" s="20"/>
      <c r="B16" s="20"/>
      <c r="C16" s="20"/>
      <c r="D16" s="20"/>
      <c r="E16" s="20"/>
    </row>
    <row r="17" spans="7:7" ht="12.75" customHeight="1" x14ac:dyDescent="0.2"/>
    <row r="18" spans="7:7" ht="12.75" customHeight="1" x14ac:dyDescent="0.2">
      <c r="G18" s="10" t="s">
        <v>122</v>
      </c>
    </row>
    <row r="19" spans="7:7" ht="12.75" customHeight="1" x14ac:dyDescent="0.2"/>
    <row r="20" spans="7:7" ht="12.75" customHeight="1" x14ac:dyDescent="0.2">
      <c r="G20" s="10" t="s">
        <v>123</v>
      </c>
    </row>
    <row r="21" spans="7:7" ht="12.75" customHeight="1" x14ac:dyDescent="0.2">
      <c r="G21" s="10" t="s">
        <v>124</v>
      </c>
    </row>
    <row r="22" spans="7:7" ht="12.75" customHeight="1" x14ac:dyDescent="0.2">
      <c r="G22" s="10" t="s">
        <v>125</v>
      </c>
    </row>
    <row r="23" spans="7:7" ht="12.75" customHeight="1" x14ac:dyDescent="0.2">
      <c r="G23" s="10" t="s">
        <v>126</v>
      </c>
    </row>
    <row r="24" spans="7:7" ht="12.75" customHeight="1" x14ac:dyDescent="0.2">
      <c r="G24" s="10" t="s">
        <v>127</v>
      </c>
    </row>
    <row r="25" spans="7:7" ht="12.75" customHeight="1" x14ac:dyDescent="0.2">
      <c r="G25" s="10" t="s">
        <v>128</v>
      </c>
    </row>
    <row r="26" spans="7:7" ht="12.75" customHeight="1" x14ac:dyDescent="0.2">
      <c r="G26" s="10" t="s">
        <v>129</v>
      </c>
    </row>
    <row r="27" spans="7:7" ht="12.75" customHeight="1" x14ac:dyDescent="0.2">
      <c r="G27" s="10" t="s">
        <v>130</v>
      </c>
    </row>
    <row r="28" spans="7:7" ht="12.75" customHeight="1" x14ac:dyDescent="0.2">
      <c r="G28" s="10" t="s">
        <v>131</v>
      </c>
    </row>
    <row r="29" spans="7:7" ht="12.75" customHeight="1" x14ac:dyDescent="0.2">
      <c r="G29" s="10" t="s">
        <v>132</v>
      </c>
    </row>
    <row r="30" spans="7:7" ht="12.75" customHeight="1" x14ac:dyDescent="0.2">
      <c r="G30" s="10" t="s">
        <v>133</v>
      </c>
    </row>
    <row r="31" spans="7:7" ht="12.75" customHeight="1" x14ac:dyDescent="0.2">
      <c r="G31" s="10" t="s">
        <v>134</v>
      </c>
    </row>
    <row r="32" spans="7:7" ht="12.75" customHeight="1" x14ac:dyDescent="0.2">
      <c r="G32" s="10" t="s">
        <v>135</v>
      </c>
    </row>
    <row r="33" spans="1:5" ht="12.75" customHeight="1" x14ac:dyDescent="0.2"/>
    <row r="34" spans="1:5" ht="12.75" customHeight="1" x14ac:dyDescent="0.2"/>
    <row r="35" spans="1:5" ht="12.75" customHeight="1" x14ac:dyDescent="0.2"/>
    <row r="36" spans="1:5" ht="12.75" customHeight="1" x14ac:dyDescent="0.2"/>
    <row r="37" spans="1:5" ht="12.75" customHeight="1" x14ac:dyDescent="0.2">
      <c r="A37" s="20"/>
      <c r="B37" s="20"/>
      <c r="C37" s="20"/>
      <c r="D37" s="20"/>
      <c r="E37" s="20"/>
    </row>
    <row r="38" spans="1:5" ht="12.75" customHeight="1" x14ac:dyDescent="0.2">
      <c r="A38" s="20"/>
      <c r="B38" s="20"/>
      <c r="C38" s="20"/>
      <c r="D38" s="20"/>
      <c r="E38" s="20"/>
    </row>
    <row r="39" spans="1:5" ht="46.5" customHeight="1" x14ac:dyDescent="0.2">
      <c r="A39" s="21"/>
      <c r="B39" s="21"/>
      <c r="C39" s="21"/>
      <c r="D39" s="21"/>
      <c r="E39" s="20"/>
    </row>
    <row r="40" spans="1:5" ht="15.75" customHeight="1" x14ac:dyDescent="0.25">
      <c r="A40" s="22"/>
      <c r="B40" s="22"/>
      <c r="C40" s="22"/>
      <c r="D40" s="22"/>
      <c r="E40" s="20"/>
    </row>
    <row r="41" spans="1:5" ht="12.75" customHeight="1" x14ac:dyDescent="0.2">
      <c r="A41" s="20"/>
      <c r="B41" s="20"/>
      <c r="C41" s="23"/>
      <c r="D41" s="23"/>
      <c r="E41" s="20"/>
    </row>
    <row r="42" spans="1:5" ht="12.75" customHeight="1" x14ac:dyDescent="0.2">
      <c r="A42" s="20"/>
      <c r="B42" s="20"/>
      <c r="C42" s="23"/>
      <c r="D42" s="23"/>
      <c r="E42" s="20"/>
    </row>
    <row r="43" spans="1:5" ht="12.75" customHeight="1" x14ac:dyDescent="0.2">
      <c r="A43" s="20"/>
      <c r="B43" s="20"/>
      <c r="C43" s="23"/>
      <c r="D43" s="23"/>
      <c r="E43" s="20"/>
    </row>
    <row r="44" spans="1:5" ht="12.75" customHeight="1" x14ac:dyDescent="0.2">
      <c r="A44" s="20"/>
      <c r="B44" s="20"/>
      <c r="C44" s="23"/>
      <c r="D44" s="23"/>
      <c r="E44" s="20"/>
    </row>
    <row r="45" spans="1:5" ht="12.75" customHeight="1" x14ac:dyDescent="0.2">
      <c r="A45" s="20"/>
      <c r="B45" s="20"/>
      <c r="C45" s="23"/>
      <c r="D45" s="23"/>
      <c r="E45" s="20"/>
    </row>
    <row r="46" spans="1:5" ht="12.75" customHeight="1" x14ac:dyDescent="0.2">
      <c r="A46" s="20"/>
      <c r="B46" s="20"/>
      <c r="C46" s="23"/>
      <c r="D46" s="23"/>
      <c r="E46" s="20"/>
    </row>
    <row r="47" spans="1:5" ht="12.75" customHeight="1" x14ac:dyDescent="0.2">
      <c r="A47" s="20"/>
      <c r="B47" s="20"/>
      <c r="C47" s="23"/>
      <c r="D47" s="23"/>
      <c r="E47" s="20"/>
    </row>
    <row r="48" spans="1:5" ht="12.75" customHeight="1" x14ac:dyDescent="0.2">
      <c r="A48" s="20"/>
      <c r="B48" s="20"/>
      <c r="C48" s="23"/>
      <c r="D48" s="23"/>
      <c r="E48" s="20"/>
    </row>
    <row r="49" spans="1:5" ht="12.75" customHeight="1" x14ac:dyDescent="0.2">
      <c r="A49" s="20"/>
      <c r="B49" s="20"/>
      <c r="C49" s="20"/>
      <c r="D49" s="20"/>
      <c r="E49" s="20"/>
    </row>
    <row r="50" spans="1:5" ht="12.75" customHeight="1" x14ac:dyDescent="0.2">
      <c r="A50" s="20"/>
      <c r="B50" s="20"/>
      <c r="C50" s="20"/>
      <c r="D50" s="20"/>
      <c r="E50" s="20"/>
    </row>
    <row r="51" spans="1:5" ht="12.75" customHeight="1" x14ac:dyDescent="0.2">
      <c r="A51" s="20"/>
      <c r="B51" s="20"/>
      <c r="C51" s="20"/>
      <c r="D51" s="20"/>
      <c r="E51" s="20"/>
    </row>
    <row r="52" spans="1:5" ht="12.75" customHeight="1" x14ac:dyDescent="0.2">
      <c r="A52" s="20"/>
      <c r="B52" s="20"/>
      <c r="C52" s="20"/>
      <c r="D52" s="20"/>
      <c r="E52" s="20"/>
    </row>
    <row r="53" spans="1:5" ht="12.75" customHeight="1" x14ac:dyDescent="0.2"/>
    <row r="54" spans="1:5" ht="12.75" customHeight="1" x14ac:dyDescent="0.2"/>
    <row r="55" spans="1:5" ht="12.75" customHeight="1" x14ac:dyDescent="0.2"/>
    <row r="56" spans="1:5" ht="12.75" customHeight="1" x14ac:dyDescent="0.2"/>
    <row r="57" spans="1:5" ht="12.75" customHeight="1" x14ac:dyDescent="0.2"/>
    <row r="58" spans="1:5" ht="12.75" customHeight="1" x14ac:dyDescent="0.2"/>
    <row r="59" spans="1:5" ht="12.75" customHeight="1" x14ac:dyDescent="0.2"/>
    <row r="60" spans="1:5" ht="12.75" customHeight="1" x14ac:dyDescent="0.2"/>
    <row r="61" spans="1:5" ht="12.75" customHeight="1" x14ac:dyDescent="0.2"/>
    <row r="62" spans="1:5" ht="12.75" customHeight="1" x14ac:dyDescent="0.2"/>
    <row r="63" spans="1:5" ht="12.75" customHeight="1" x14ac:dyDescent="0.2"/>
    <row r="64" spans="1:5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">
    <mergeCell ref="A1:B1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G998"/>
  <sheetViews>
    <sheetView showGridLines="0" workbookViewId="0">
      <selection activeCell="G17" sqref="G17"/>
    </sheetView>
  </sheetViews>
  <sheetFormatPr defaultColWidth="12.5703125" defaultRowHeight="15" customHeight="1" x14ac:dyDescent="0.2"/>
  <cols>
    <col min="1" max="1" width="11.85546875" customWidth="1"/>
    <col min="2" max="3" width="8" customWidth="1"/>
    <col min="4" max="4" width="12.7109375" customWidth="1"/>
    <col min="5" max="6" width="8" customWidth="1"/>
    <col min="7" max="7" width="11.28515625" customWidth="1"/>
    <col min="8" max="26" width="8" customWidth="1"/>
  </cols>
  <sheetData>
    <row r="1" spans="1:7" ht="12.75" customHeight="1" x14ac:dyDescent="0.2">
      <c r="A1" s="24" t="s">
        <v>136</v>
      </c>
      <c r="B1" s="19"/>
      <c r="C1" s="19"/>
      <c r="D1" s="19"/>
      <c r="E1" s="19"/>
      <c r="F1" s="19"/>
      <c r="G1" s="19"/>
    </row>
    <row r="2" spans="1:7" ht="12.75" customHeight="1" x14ac:dyDescent="0.2">
      <c r="A2" s="24" t="s">
        <v>137</v>
      </c>
      <c r="B2" s="19"/>
      <c r="C2" s="19"/>
      <c r="D2" s="19"/>
      <c r="E2" s="19"/>
      <c r="F2" s="19"/>
      <c r="G2" s="19"/>
    </row>
    <row r="3" spans="1:7" ht="12.75" customHeight="1" x14ac:dyDescent="0.2">
      <c r="A3" s="24" t="s">
        <v>138</v>
      </c>
      <c r="B3" s="19" t="s">
        <v>139</v>
      </c>
      <c r="C3" s="19" t="s">
        <v>140</v>
      </c>
      <c r="D3" s="19" t="s">
        <v>141</v>
      </c>
      <c r="E3" s="19" t="s">
        <v>142</v>
      </c>
      <c r="F3" s="19" t="s">
        <v>143</v>
      </c>
      <c r="G3" s="19" t="s">
        <v>144</v>
      </c>
    </row>
    <row r="4" spans="1:7" ht="12.75" customHeight="1" x14ac:dyDescent="0.2">
      <c r="A4" s="24" t="s">
        <v>145</v>
      </c>
      <c r="B4" s="19">
        <v>1525</v>
      </c>
      <c r="C4" s="19">
        <v>2565</v>
      </c>
      <c r="D4" s="19">
        <v>1010</v>
      </c>
      <c r="E4" s="19">
        <v>980</v>
      </c>
      <c r="F4" s="19">
        <v>850</v>
      </c>
      <c r="G4" s="19">
        <f>SUM(B4:F4)</f>
        <v>6930</v>
      </c>
    </row>
    <row r="5" spans="1:7" ht="12.75" customHeight="1" x14ac:dyDescent="0.2">
      <c r="A5" s="24" t="s">
        <v>146</v>
      </c>
      <c r="B5" s="19">
        <v>1675</v>
      </c>
      <c r="C5" s="19">
        <v>2354</v>
      </c>
      <c r="D5" s="19">
        <v>985</v>
      </c>
      <c r="E5" s="19">
        <v>1015</v>
      </c>
      <c r="F5" s="19">
        <v>782</v>
      </c>
      <c r="G5" s="19">
        <f t="shared" ref="G5:G15" si="0">SUM(B5:F5)</f>
        <v>6811</v>
      </c>
    </row>
    <row r="6" spans="1:7" ht="12.75" customHeight="1" x14ac:dyDescent="0.2">
      <c r="A6" s="24" t="s">
        <v>147</v>
      </c>
      <c r="B6" s="19">
        <v>1426</v>
      </c>
      <c r="C6" s="19">
        <v>2317</v>
      </c>
      <c r="D6" s="19">
        <v>785</v>
      </c>
      <c r="E6" s="19">
        <v>512</v>
      </c>
      <c r="F6" s="19">
        <v>654</v>
      </c>
      <c r="G6" s="19">
        <f t="shared" si="0"/>
        <v>5694</v>
      </c>
    </row>
    <row r="7" spans="1:7" ht="12.75" customHeight="1" x14ac:dyDescent="0.2">
      <c r="A7" s="24" t="s">
        <v>148</v>
      </c>
      <c r="B7" s="19">
        <v>1658</v>
      </c>
      <c r="C7" s="19">
        <v>2103</v>
      </c>
      <c r="D7" s="19">
        <v>1065</v>
      </c>
      <c r="E7" s="19">
        <v>1040</v>
      </c>
      <c r="F7" s="19">
        <v>996</v>
      </c>
      <c r="G7" s="19">
        <f t="shared" si="0"/>
        <v>6862</v>
      </c>
    </row>
    <row r="8" spans="1:7" ht="12.75" customHeight="1" x14ac:dyDescent="0.2">
      <c r="A8" s="24" t="s">
        <v>149</v>
      </c>
      <c r="B8" s="19">
        <v>1850</v>
      </c>
      <c r="C8" s="19">
        <v>1990</v>
      </c>
      <c r="D8" s="19">
        <v>924</v>
      </c>
      <c r="E8" s="19">
        <v>1003</v>
      </c>
      <c r="F8" s="19">
        <v>1005</v>
      </c>
      <c r="G8" s="19">
        <f t="shared" si="0"/>
        <v>6772</v>
      </c>
    </row>
    <row r="9" spans="1:7" ht="12.75" customHeight="1" x14ac:dyDescent="0.2">
      <c r="A9" s="24" t="s">
        <v>150</v>
      </c>
      <c r="B9" s="19">
        <v>2500</v>
      </c>
      <c r="C9" s="19">
        <v>2340</v>
      </c>
      <c r="D9" s="19">
        <v>750</v>
      </c>
      <c r="E9" s="19">
        <v>786</v>
      </c>
      <c r="F9" s="19">
        <v>942</v>
      </c>
      <c r="G9" s="19">
        <f t="shared" si="0"/>
        <v>7318</v>
      </c>
    </row>
    <row r="10" spans="1:7" ht="12.75" customHeight="1" x14ac:dyDescent="0.2">
      <c r="A10" s="24" t="s">
        <v>151</v>
      </c>
      <c r="B10" s="19">
        <v>2340</v>
      </c>
      <c r="C10" s="19">
        <v>1350</v>
      </c>
      <c r="D10" s="19">
        <v>865</v>
      </c>
      <c r="E10" s="19">
        <v>1052</v>
      </c>
      <c r="F10" s="19">
        <v>782</v>
      </c>
      <c r="G10" s="19">
        <f t="shared" si="0"/>
        <v>6389</v>
      </c>
    </row>
    <row r="11" spans="1:7" ht="12.75" customHeight="1" x14ac:dyDescent="0.2">
      <c r="A11" s="24" t="s">
        <v>152</v>
      </c>
      <c r="B11" s="19">
        <v>1985</v>
      </c>
      <c r="C11" s="19">
        <v>2154</v>
      </c>
      <c r="D11" s="19">
        <v>975</v>
      </c>
      <c r="E11" s="19">
        <v>876</v>
      </c>
      <c r="F11" s="19">
        <v>1020</v>
      </c>
      <c r="G11" s="19">
        <f t="shared" si="0"/>
        <v>7010</v>
      </c>
    </row>
    <row r="12" spans="1:7" ht="12.75" customHeight="1" x14ac:dyDescent="0.2">
      <c r="A12" s="24" t="s">
        <v>153</v>
      </c>
      <c r="B12" s="19">
        <v>1675</v>
      </c>
      <c r="C12" s="19">
        <v>1050</v>
      </c>
      <c r="D12" s="19">
        <v>1420</v>
      </c>
      <c r="E12" s="19">
        <v>1340</v>
      </c>
      <c r="F12" s="19">
        <v>1054</v>
      </c>
      <c r="G12" s="19">
        <f t="shared" si="0"/>
        <v>6539</v>
      </c>
    </row>
    <row r="13" spans="1:7" ht="12.75" customHeight="1" x14ac:dyDescent="0.2">
      <c r="A13" s="24" t="s">
        <v>154</v>
      </c>
      <c r="B13" s="19">
        <v>2970</v>
      </c>
      <c r="C13" s="19">
        <v>1125</v>
      </c>
      <c r="D13" s="19">
        <v>1378</v>
      </c>
      <c r="E13" s="19">
        <v>1195</v>
      </c>
      <c r="F13" s="19">
        <v>1069</v>
      </c>
      <c r="G13" s="19">
        <f t="shared" si="0"/>
        <v>7737</v>
      </c>
    </row>
    <row r="14" spans="1:7" ht="12.75" customHeight="1" x14ac:dyDescent="0.2">
      <c r="A14" s="24" t="s">
        <v>155</v>
      </c>
      <c r="B14" s="19">
        <v>3700</v>
      </c>
      <c r="C14" s="19">
        <v>2420</v>
      </c>
      <c r="D14" s="19">
        <v>1279</v>
      </c>
      <c r="E14" s="19">
        <v>1200</v>
      </c>
      <c r="F14" s="19">
        <v>1152</v>
      </c>
      <c r="G14" s="19">
        <f t="shared" si="0"/>
        <v>9751</v>
      </c>
    </row>
    <row r="15" spans="1:7" ht="12.75" customHeight="1" x14ac:dyDescent="0.2">
      <c r="A15" s="24" t="s">
        <v>156</v>
      </c>
      <c r="B15" s="19">
        <v>3205</v>
      </c>
      <c r="C15" s="19">
        <v>2910</v>
      </c>
      <c r="D15" s="19">
        <v>1198</v>
      </c>
      <c r="E15" s="19">
        <v>1301</v>
      </c>
      <c r="F15" s="19">
        <v>1521</v>
      </c>
      <c r="G15" s="19">
        <f t="shared" si="0"/>
        <v>10135</v>
      </c>
    </row>
    <row r="16" spans="1:7" ht="12.75" customHeight="1" x14ac:dyDescent="0.2">
      <c r="A16" s="24" t="s">
        <v>144</v>
      </c>
      <c r="B16" s="19">
        <f>SUM(B4:B15)</f>
        <v>26509</v>
      </c>
      <c r="C16" s="19">
        <f t="shared" ref="C16:F16" si="1">SUM(C4:C15)</f>
        <v>24678</v>
      </c>
      <c r="D16" s="19">
        <f t="shared" si="1"/>
        <v>12634</v>
      </c>
      <c r="E16" s="19">
        <f t="shared" si="1"/>
        <v>12300</v>
      </c>
      <c r="F16" s="19">
        <f t="shared" si="1"/>
        <v>11827</v>
      </c>
      <c r="G16" s="19">
        <f>SUM(B16:F16)</f>
        <v>87948</v>
      </c>
    </row>
    <row r="17" spans="1:7" ht="12.75" customHeight="1" x14ac:dyDescent="0.2"/>
    <row r="18" spans="1:7" ht="12.75" customHeight="1" x14ac:dyDescent="0.2"/>
    <row r="19" spans="1:7" ht="12.75" customHeight="1" x14ac:dyDescent="0.2">
      <c r="A19" s="95"/>
      <c r="B19" s="77"/>
      <c r="C19" s="77"/>
      <c r="D19" s="77"/>
      <c r="E19" s="77"/>
      <c r="F19" s="77"/>
      <c r="G19" s="77"/>
    </row>
    <row r="20" spans="1:7" ht="12.75" customHeight="1" x14ac:dyDescent="0.2">
      <c r="A20" s="20"/>
      <c r="B20" s="20"/>
      <c r="C20" s="20"/>
      <c r="D20" s="20"/>
      <c r="E20" s="20"/>
      <c r="F20" s="20"/>
      <c r="G20" s="20"/>
    </row>
    <row r="21" spans="1:7" ht="12.75" customHeight="1" x14ac:dyDescent="0.2">
      <c r="A21" s="95"/>
      <c r="B21" s="77"/>
      <c r="C21" s="77"/>
      <c r="D21" s="77"/>
      <c r="E21" s="77"/>
      <c r="F21" s="77"/>
      <c r="G21" s="77"/>
    </row>
    <row r="22" spans="1:7" ht="12.75" customHeight="1" x14ac:dyDescent="0.2">
      <c r="A22" s="20"/>
      <c r="B22" s="20"/>
      <c r="C22" s="20"/>
      <c r="D22" s="20"/>
      <c r="E22" s="20"/>
      <c r="F22" s="20"/>
      <c r="G22" s="20"/>
    </row>
    <row r="23" spans="1:7" ht="12.75" customHeight="1" x14ac:dyDescent="0.2">
      <c r="A23" s="26"/>
      <c r="B23" s="27"/>
      <c r="C23" s="27"/>
      <c r="D23" s="27"/>
      <c r="E23" s="27"/>
      <c r="F23" s="27"/>
      <c r="G23" s="26"/>
    </row>
    <row r="24" spans="1:7" ht="12.75" customHeight="1" x14ac:dyDescent="0.2">
      <c r="A24" s="26"/>
      <c r="B24" s="28"/>
      <c r="C24" s="28"/>
      <c r="D24" s="28"/>
      <c r="E24" s="28"/>
      <c r="F24" s="28"/>
      <c r="G24" s="28"/>
    </row>
    <row r="25" spans="1:7" ht="12.75" customHeight="1" x14ac:dyDescent="0.2">
      <c r="A25" s="26"/>
      <c r="B25" s="28"/>
      <c r="C25" s="28"/>
      <c r="D25" s="28"/>
      <c r="E25" s="28"/>
      <c r="F25" s="28"/>
      <c r="G25" s="28"/>
    </row>
    <row r="26" spans="1:7" ht="12.75" customHeight="1" x14ac:dyDescent="0.2">
      <c r="A26" s="26"/>
      <c r="B26" s="28"/>
      <c r="C26" s="28"/>
      <c r="D26" s="28"/>
      <c r="E26" s="28"/>
      <c r="F26" s="28"/>
      <c r="G26" s="28"/>
    </row>
    <row r="27" spans="1:7" ht="12.75" customHeight="1" x14ac:dyDescent="0.2">
      <c r="A27" s="26"/>
      <c r="B27" s="28"/>
      <c r="C27" s="28"/>
      <c r="D27" s="28"/>
      <c r="E27" s="28"/>
      <c r="F27" s="28"/>
      <c r="G27" s="28"/>
    </row>
    <row r="28" spans="1:7" ht="12.75" customHeight="1" x14ac:dyDescent="0.2">
      <c r="A28" s="26"/>
      <c r="B28" s="28"/>
      <c r="C28" s="28"/>
      <c r="D28" s="28"/>
      <c r="E28" s="28"/>
      <c r="F28" s="28"/>
      <c r="G28" s="28"/>
    </row>
    <row r="29" spans="1:7" ht="12.75" customHeight="1" x14ac:dyDescent="0.2">
      <c r="A29" s="26"/>
      <c r="B29" s="28"/>
      <c r="C29" s="28"/>
      <c r="D29" s="28"/>
      <c r="E29" s="28"/>
      <c r="F29" s="28"/>
      <c r="G29" s="28"/>
    </row>
    <row r="30" spans="1:7" ht="12.75" customHeight="1" x14ac:dyDescent="0.2">
      <c r="A30" s="26"/>
      <c r="B30" s="28"/>
      <c r="C30" s="28"/>
      <c r="D30" s="28"/>
      <c r="E30" s="28"/>
      <c r="F30" s="28"/>
      <c r="G30" s="28"/>
    </row>
    <row r="31" spans="1:7" ht="12.75" customHeight="1" x14ac:dyDescent="0.2">
      <c r="A31" s="26"/>
      <c r="B31" s="28"/>
      <c r="C31" s="28"/>
      <c r="D31" s="28"/>
      <c r="E31" s="28"/>
      <c r="F31" s="28"/>
      <c r="G31" s="28"/>
    </row>
    <row r="32" spans="1:7" ht="12.75" customHeight="1" x14ac:dyDescent="0.2">
      <c r="A32" s="26"/>
      <c r="B32" s="28"/>
      <c r="C32" s="28"/>
      <c r="D32" s="28"/>
      <c r="E32" s="28"/>
      <c r="F32" s="28"/>
      <c r="G32" s="28"/>
    </row>
    <row r="33" spans="1:7" ht="12.75" customHeight="1" x14ac:dyDescent="0.2">
      <c r="A33" s="26"/>
      <c r="B33" s="28"/>
      <c r="C33" s="28"/>
      <c r="D33" s="28"/>
      <c r="E33" s="28"/>
      <c r="F33" s="28"/>
      <c r="G33" s="28"/>
    </row>
    <row r="34" spans="1:7" ht="12.75" customHeight="1" x14ac:dyDescent="0.2">
      <c r="A34" s="26"/>
      <c r="B34" s="28"/>
      <c r="C34" s="28"/>
      <c r="D34" s="28"/>
      <c r="E34" s="28"/>
      <c r="F34" s="28"/>
      <c r="G34" s="28"/>
    </row>
    <row r="35" spans="1:7" ht="12.75" customHeight="1" x14ac:dyDescent="0.2">
      <c r="A35" s="26"/>
      <c r="B35" s="28"/>
      <c r="C35" s="28"/>
      <c r="D35" s="28"/>
      <c r="E35" s="28"/>
      <c r="F35" s="28"/>
      <c r="G35" s="28"/>
    </row>
    <row r="36" spans="1:7" ht="12.75" customHeight="1" x14ac:dyDescent="0.2">
      <c r="A36" s="26"/>
      <c r="B36" s="28"/>
      <c r="C36" s="28"/>
      <c r="D36" s="28"/>
      <c r="E36" s="28"/>
      <c r="F36" s="28"/>
      <c r="G36" s="28"/>
    </row>
    <row r="37" spans="1:7" ht="12.75" customHeight="1" x14ac:dyDescent="0.2">
      <c r="A37" s="20"/>
      <c r="B37" s="20"/>
      <c r="C37" s="20"/>
      <c r="D37" s="20"/>
      <c r="E37" s="20"/>
      <c r="F37" s="20"/>
      <c r="G37" s="20"/>
    </row>
    <row r="38" spans="1:7" ht="12.75" customHeight="1" x14ac:dyDescent="0.2">
      <c r="A38" s="20"/>
      <c r="B38" s="20"/>
      <c r="C38" s="20"/>
      <c r="D38" s="20"/>
      <c r="E38" s="20"/>
      <c r="F38" s="20"/>
      <c r="G38" s="20"/>
    </row>
    <row r="39" spans="1:7" ht="12.75" customHeight="1" x14ac:dyDescent="0.2">
      <c r="A39" s="20"/>
      <c r="B39" s="20"/>
      <c r="C39" s="20"/>
      <c r="D39" s="20"/>
      <c r="E39" s="20"/>
      <c r="F39" s="20"/>
      <c r="G39" s="20"/>
    </row>
    <row r="40" spans="1:7" ht="12.75" customHeight="1" x14ac:dyDescent="0.2">
      <c r="A40" s="20"/>
      <c r="B40" s="20"/>
      <c r="C40" s="20"/>
      <c r="D40" s="20"/>
      <c r="E40" s="20"/>
      <c r="F40" s="20"/>
      <c r="G40" s="20"/>
    </row>
    <row r="41" spans="1:7" ht="12.75" customHeight="1" x14ac:dyDescent="0.2">
      <c r="A41" s="20"/>
      <c r="B41" s="20"/>
      <c r="C41" s="20"/>
      <c r="D41" s="20"/>
      <c r="E41" s="20"/>
      <c r="F41" s="20"/>
      <c r="G41" s="20"/>
    </row>
    <row r="42" spans="1:7" ht="12.75" customHeight="1" x14ac:dyDescent="0.2">
      <c r="A42" s="20"/>
      <c r="B42" s="20"/>
      <c r="C42" s="20"/>
      <c r="D42" s="20"/>
      <c r="E42" s="20"/>
      <c r="F42" s="20"/>
      <c r="G42" s="20"/>
    </row>
    <row r="43" spans="1:7" ht="12.75" customHeight="1" x14ac:dyDescent="0.2">
      <c r="A43" s="20"/>
      <c r="B43" s="20"/>
      <c r="C43" s="20"/>
      <c r="D43" s="20"/>
      <c r="E43" s="20"/>
      <c r="F43" s="20"/>
      <c r="G43" s="20"/>
    </row>
    <row r="44" spans="1:7" ht="12.75" customHeight="1" x14ac:dyDescent="0.2">
      <c r="A44" s="20"/>
      <c r="B44" s="20"/>
      <c r="C44" s="20"/>
      <c r="D44" s="20"/>
      <c r="E44" s="20"/>
      <c r="F44" s="20"/>
      <c r="G44" s="20"/>
    </row>
    <row r="45" spans="1:7" ht="12.75" customHeight="1" x14ac:dyDescent="0.2">
      <c r="A45" s="20"/>
      <c r="B45" s="20"/>
      <c r="C45" s="20"/>
      <c r="D45" s="20"/>
      <c r="E45" s="20"/>
      <c r="F45" s="20"/>
      <c r="G45" s="20"/>
    </row>
    <row r="46" spans="1:7" ht="12.75" customHeight="1" x14ac:dyDescent="0.2"/>
    <row r="47" spans="1:7" ht="12.75" customHeight="1" x14ac:dyDescent="0.2"/>
    <row r="48" spans="1:7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</sheetData>
  <mergeCells count="2">
    <mergeCell ref="A19:G19"/>
    <mergeCell ref="A21:G21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366FF"/>
  </sheetPr>
  <dimension ref="A1:B1000"/>
  <sheetViews>
    <sheetView workbookViewId="0"/>
  </sheetViews>
  <sheetFormatPr defaultColWidth="12.5703125" defaultRowHeight="15" customHeight="1" x14ac:dyDescent="0.2"/>
  <cols>
    <col min="1" max="1" width="34.7109375" customWidth="1"/>
    <col min="2" max="2" width="12.140625" customWidth="1"/>
    <col min="3" max="26" width="8" customWidth="1"/>
  </cols>
  <sheetData>
    <row r="1" spans="1:2" ht="12.75" customHeight="1" x14ac:dyDescent="0.2"/>
    <row r="2" spans="1:2" ht="12.75" customHeight="1" x14ac:dyDescent="0.2"/>
    <row r="3" spans="1:2" ht="12.75" customHeight="1" x14ac:dyDescent="0.2"/>
    <row r="4" spans="1:2" ht="12.75" customHeight="1" x14ac:dyDescent="0.2"/>
    <row r="5" spans="1:2" ht="12.75" customHeight="1" x14ac:dyDescent="0.2"/>
    <row r="6" spans="1:2" ht="12.75" customHeight="1" x14ac:dyDescent="0.2"/>
    <row r="7" spans="1:2" ht="12.75" customHeight="1" x14ac:dyDescent="0.2"/>
    <row r="8" spans="1:2" ht="12.75" customHeight="1" x14ac:dyDescent="0.2"/>
    <row r="9" spans="1:2" ht="12.75" customHeight="1" x14ac:dyDescent="0.2"/>
    <row r="10" spans="1:2" ht="12.75" customHeight="1" x14ac:dyDescent="0.2"/>
    <row r="11" spans="1:2" ht="12.75" customHeight="1" x14ac:dyDescent="0.2">
      <c r="A11" s="20"/>
      <c r="B11" s="20"/>
    </row>
    <row r="12" spans="1:2" ht="12.75" customHeight="1" x14ac:dyDescent="0.2">
      <c r="A12" s="20"/>
      <c r="B12" s="20"/>
    </row>
    <row r="13" spans="1:2" ht="12.75" customHeight="1" x14ac:dyDescent="0.2">
      <c r="A13" s="20"/>
      <c r="B13" s="23"/>
    </row>
    <row r="14" spans="1:2" ht="12.75" customHeight="1" x14ac:dyDescent="0.2">
      <c r="A14" s="20"/>
      <c r="B14" s="20"/>
    </row>
    <row r="15" spans="1:2" ht="12.75" customHeight="1" x14ac:dyDescent="0.2">
      <c r="A15" s="20"/>
      <c r="B15" s="20"/>
    </row>
    <row r="16" spans="1:2" ht="12.75" customHeight="1" x14ac:dyDescent="0.2">
      <c r="A16" s="20"/>
      <c r="B16" s="23"/>
    </row>
    <row r="17" spans="1:2" ht="12.75" customHeight="1" x14ac:dyDescent="0.2">
      <c r="A17" s="20"/>
      <c r="B17" s="20"/>
    </row>
    <row r="18" spans="1:2" ht="12.75" customHeight="1" x14ac:dyDescent="0.2">
      <c r="A18" s="20"/>
      <c r="B18" s="23"/>
    </row>
    <row r="19" spans="1:2" ht="12.75" customHeight="1" x14ac:dyDescent="0.2">
      <c r="A19" s="20"/>
      <c r="B19" s="20"/>
    </row>
    <row r="20" spans="1:2" ht="12.75" customHeight="1" x14ac:dyDescent="0.2">
      <c r="A20" s="20"/>
      <c r="B20" s="20"/>
    </row>
    <row r="21" spans="1:2" ht="12.75" customHeight="1" x14ac:dyDescent="0.2">
      <c r="A21" s="20"/>
      <c r="B21" s="20"/>
    </row>
    <row r="22" spans="1:2" ht="12.75" customHeight="1" x14ac:dyDescent="0.2">
      <c r="A22" s="20"/>
      <c r="B22" s="20"/>
    </row>
    <row r="23" spans="1:2" ht="12.75" customHeight="1" x14ac:dyDescent="0.2"/>
    <row r="24" spans="1:2" ht="12.75" customHeight="1" x14ac:dyDescent="0.2"/>
    <row r="25" spans="1:2" ht="12.75" customHeight="1" x14ac:dyDescent="0.2"/>
    <row r="26" spans="1:2" ht="12.75" customHeight="1" x14ac:dyDescent="0.2"/>
    <row r="27" spans="1:2" ht="12.75" customHeight="1" x14ac:dyDescent="0.2"/>
    <row r="28" spans="1:2" ht="12.75" customHeight="1" x14ac:dyDescent="0.2"/>
    <row r="29" spans="1:2" ht="12.75" customHeight="1" x14ac:dyDescent="0.2"/>
    <row r="30" spans="1:2" ht="12.75" customHeight="1" x14ac:dyDescent="0.2"/>
    <row r="31" spans="1:2" ht="12.75" customHeight="1" x14ac:dyDescent="0.2"/>
    <row r="32" spans="1: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FF"/>
  </sheetPr>
  <dimension ref="A1:G1000"/>
  <sheetViews>
    <sheetView showGridLines="0" workbookViewId="0">
      <selection activeCell="G5" sqref="G5:G14"/>
    </sheetView>
  </sheetViews>
  <sheetFormatPr defaultColWidth="12.5703125" defaultRowHeight="15" customHeight="1" x14ac:dyDescent="0.2"/>
  <cols>
    <col min="1" max="1" width="10.7109375" customWidth="1"/>
    <col min="2" max="5" width="8" customWidth="1"/>
    <col min="6" max="6" width="7.140625" bestFit="1" customWidth="1"/>
    <col min="7" max="7" width="11.7109375" customWidth="1"/>
    <col min="8" max="26" width="8" customWidth="1"/>
  </cols>
  <sheetData>
    <row r="1" spans="1:7" ht="12.75" customHeight="1" x14ac:dyDescent="0.2">
      <c r="A1" s="96" t="s">
        <v>157</v>
      </c>
      <c r="B1" s="97"/>
      <c r="C1" s="97"/>
      <c r="D1" s="97"/>
      <c r="E1" s="97"/>
      <c r="F1" s="97"/>
      <c r="G1" s="98"/>
    </row>
    <row r="2" spans="1:7" ht="12.75" customHeight="1" x14ac:dyDescent="0.2">
      <c r="A2" s="99" t="s">
        <v>158</v>
      </c>
      <c r="B2" s="97"/>
      <c r="C2" s="97"/>
      <c r="D2" s="98"/>
      <c r="E2" s="29"/>
      <c r="F2" s="29"/>
      <c r="G2" s="29"/>
    </row>
    <row r="3" spans="1:7" ht="12.75" customHeight="1" x14ac:dyDescent="0.2">
      <c r="A3" s="30"/>
      <c r="B3" s="29"/>
      <c r="C3" s="29"/>
      <c r="D3" s="29"/>
      <c r="E3" s="29"/>
      <c r="F3" s="29"/>
      <c r="G3" s="29"/>
    </row>
    <row r="4" spans="1:7" ht="12.75" customHeight="1" x14ac:dyDescent="0.2">
      <c r="A4" s="31" t="s">
        <v>159</v>
      </c>
      <c r="B4" s="31" t="s">
        <v>160</v>
      </c>
      <c r="C4" s="31" t="s">
        <v>161</v>
      </c>
      <c r="D4" s="31" t="s">
        <v>162</v>
      </c>
      <c r="E4" s="31" t="s">
        <v>163</v>
      </c>
      <c r="F4" s="32" t="s">
        <v>164</v>
      </c>
      <c r="G4" s="32" t="s">
        <v>165</v>
      </c>
    </row>
    <row r="5" spans="1:7" ht="12.75" customHeight="1" x14ac:dyDescent="0.2">
      <c r="A5" s="33" t="s">
        <v>166</v>
      </c>
      <c r="B5" s="34">
        <v>8</v>
      </c>
      <c r="C5" s="34">
        <v>8</v>
      </c>
      <c r="D5" s="34">
        <v>9.5</v>
      </c>
      <c r="E5" s="34">
        <v>5.4</v>
      </c>
      <c r="F5" s="35">
        <f>SUM(B5:E5)</f>
        <v>30.9</v>
      </c>
      <c r="G5" s="35">
        <f>AVERAGE(B5:E5)</f>
        <v>7.7249999999999996</v>
      </c>
    </row>
    <row r="6" spans="1:7" ht="12.75" customHeight="1" x14ac:dyDescent="0.2">
      <c r="A6" s="33" t="s">
        <v>167</v>
      </c>
      <c r="B6" s="34">
        <v>8.5</v>
      </c>
      <c r="C6" s="34">
        <v>6</v>
      </c>
      <c r="D6" s="34">
        <v>6.5</v>
      </c>
      <c r="E6" s="34">
        <v>5.2</v>
      </c>
      <c r="F6" s="35">
        <f t="shared" ref="F6:F14" si="0">SUM(B6:E6)</f>
        <v>26.2</v>
      </c>
      <c r="G6" s="35">
        <f t="shared" ref="G6:G14" si="1">AVERAGE(B6:E6)</f>
        <v>6.55</v>
      </c>
    </row>
    <row r="7" spans="1:7" ht="12.75" customHeight="1" x14ac:dyDescent="0.2">
      <c r="A7" s="33" t="s">
        <v>168</v>
      </c>
      <c r="B7" s="34">
        <v>9</v>
      </c>
      <c r="C7" s="34">
        <v>4</v>
      </c>
      <c r="D7" s="34">
        <v>7</v>
      </c>
      <c r="E7" s="34">
        <v>6</v>
      </c>
      <c r="F7" s="35">
        <f t="shared" si="0"/>
        <v>26</v>
      </c>
      <c r="G7" s="35">
        <f t="shared" si="1"/>
        <v>6.5</v>
      </c>
    </row>
    <row r="8" spans="1:7" ht="12.75" customHeight="1" x14ac:dyDescent="0.2">
      <c r="A8" s="33" t="s">
        <v>169</v>
      </c>
      <c r="B8" s="34">
        <v>8</v>
      </c>
      <c r="C8" s="34">
        <v>5.5</v>
      </c>
      <c r="D8" s="34">
        <v>7</v>
      </c>
      <c r="E8" s="34">
        <v>8</v>
      </c>
      <c r="F8" s="35">
        <f t="shared" si="0"/>
        <v>28.5</v>
      </c>
      <c r="G8" s="35">
        <f t="shared" si="1"/>
        <v>7.125</v>
      </c>
    </row>
    <row r="9" spans="1:7" ht="12.75" customHeight="1" x14ac:dyDescent="0.2">
      <c r="A9" s="33" t="s">
        <v>170</v>
      </c>
      <c r="B9" s="34">
        <v>7</v>
      </c>
      <c r="C9" s="34">
        <v>6.5</v>
      </c>
      <c r="D9" s="34">
        <v>6</v>
      </c>
      <c r="E9" s="34">
        <v>6</v>
      </c>
      <c r="F9" s="35">
        <f t="shared" si="0"/>
        <v>25.5</v>
      </c>
      <c r="G9" s="35">
        <f t="shared" si="1"/>
        <v>6.375</v>
      </c>
    </row>
    <row r="10" spans="1:7" ht="12.75" customHeight="1" x14ac:dyDescent="0.2">
      <c r="A10" s="33" t="s">
        <v>171</v>
      </c>
      <c r="B10" s="34">
        <v>8.5</v>
      </c>
      <c r="C10" s="34">
        <v>6</v>
      </c>
      <c r="D10" s="34">
        <v>6.5</v>
      </c>
      <c r="E10" s="34">
        <v>5.2</v>
      </c>
      <c r="F10" s="35">
        <f t="shared" si="0"/>
        <v>26.2</v>
      </c>
      <c r="G10" s="35">
        <f t="shared" si="1"/>
        <v>6.55</v>
      </c>
    </row>
    <row r="11" spans="1:7" ht="12.75" customHeight="1" x14ac:dyDescent="0.2">
      <c r="A11" s="33" t="s">
        <v>172</v>
      </c>
      <c r="B11" s="34">
        <v>9</v>
      </c>
      <c r="C11" s="34">
        <v>4</v>
      </c>
      <c r="D11" s="34">
        <v>7</v>
      </c>
      <c r="E11" s="34">
        <v>6</v>
      </c>
      <c r="F11" s="35">
        <f t="shared" si="0"/>
        <v>26</v>
      </c>
      <c r="G11" s="35">
        <f t="shared" si="1"/>
        <v>6.5</v>
      </c>
    </row>
    <row r="12" spans="1:7" ht="12.75" customHeight="1" x14ac:dyDescent="0.2">
      <c r="A12" s="33" t="s">
        <v>173</v>
      </c>
      <c r="B12" s="34">
        <v>8</v>
      </c>
      <c r="C12" s="34">
        <v>5.5</v>
      </c>
      <c r="D12" s="34">
        <v>7</v>
      </c>
      <c r="E12" s="34">
        <v>8</v>
      </c>
      <c r="F12" s="35">
        <f t="shared" si="0"/>
        <v>28.5</v>
      </c>
      <c r="G12" s="35">
        <f t="shared" si="1"/>
        <v>7.125</v>
      </c>
    </row>
    <row r="13" spans="1:7" ht="12.75" customHeight="1" x14ac:dyDescent="0.2">
      <c r="A13" s="33" t="s">
        <v>174</v>
      </c>
      <c r="B13" s="34">
        <v>4</v>
      </c>
      <c r="C13" s="34">
        <v>4</v>
      </c>
      <c r="D13" s="34">
        <v>4</v>
      </c>
      <c r="E13" s="34">
        <v>6</v>
      </c>
      <c r="F13" s="35">
        <f t="shared" si="0"/>
        <v>18</v>
      </c>
      <c r="G13" s="35">
        <f t="shared" si="1"/>
        <v>4.5</v>
      </c>
    </row>
    <row r="14" spans="1:7" ht="12.75" customHeight="1" x14ac:dyDescent="0.2">
      <c r="A14" s="33" t="s">
        <v>175</v>
      </c>
      <c r="B14" s="34">
        <v>8</v>
      </c>
      <c r="C14" s="34">
        <v>7</v>
      </c>
      <c r="D14" s="34">
        <v>6.5</v>
      </c>
      <c r="E14" s="34">
        <v>6.5</v>
      </c>
      <c r="F14" s="35">
        <f t="shared" si="0"/>
        <v>28</v>
      </c>
      <c r="G14" s="35">
        <f t="shared" si="1"/>
        <v>7</v>
      </c>
    </row>
    <row r="15" spans="1:7" ht="12.75" customHeight="1" x14ac:dyDescent="0.2"/>
    <row r="16" spans="1:7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2">
    <mergeCell ref="A1:G1"/>
    <mergeCell ref="A2:D2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39966"/>
  </sheetPr>
  <dimension ref="A1:H1001"/>
  <sheetViews>
    <sheetView showGridLines="0" tabSelected="1" zoomScale="145" zoomScaleNormal="145" workbookViewId="0">
      <pane xSplit="6" ySplit="4" topLeftCell="G11" activePane="bottomRight" state="frozen"/>
      <selection pane="topRight" activeCell="G1" sqref="G1"/>
      <selection pane="bottomLeft" activeCell="A5" sqref="A5"/>
      <selection pane="bottomRight" activeCell="H30" sqref="H30"/>
    </sheetView>
  </sheetViews>
  <sheetFormatPr defaultColWidth="12.5703125" defaultRowHeight="15" customHeight="1" x14ac:dyDescent="0.2"/>
  <cols>
    <col min="1" max="1" width="5" customWidth="1"/>
    <col min="2" max="2" width="14" customWidth="1"/>
    <col min="3" max="3" width="10.85546875" customWidth="1"/>
    <col min="4" max="5" width="8" customWidth="1"/>
    <col min="6" max="6" width="13.7109375" customWidth="1"/>
    <col min="7" max="7" width="12" customWidth="1"/>
    <col min="8" max="8" width="15.85546875" customWidth="1"/>
    <col min="9" max="26" width="8" customWidth="1"/>
  </cols>
  <sheetData>
    <row r="1" spans="1:8" ht="12.75" customHeight="1" x14ac:dyDescent="0.2">
      <c r="A1" s="102" t="s">
        <v>176</v>
      </c>
      <c r="B1" s="79"/>
      <c r="C1" s="79"/>
      <c r="D1" s="79"/>
      <c r="E1" s="79"/>
      <c r="F1" s="79"/>
      <c r="G1" s="80"/>
    </row>
    <row r="2" spans="1:8" ht="18" customHeight="1" x14ac:dyDescent="0.2">
      <c r="A2" s="103"/>
      <c r="B2" s="77"/>
      <c r="C2" s="77"/>
      <c r="D2" s="77"/>
      <c r="E2" s="77"/>
      <c r="F2" s="77"/>
      <c r="G2" s="104"/>
    </row>
    <row r="3" spans="1:8" ht="12.75" customHeight="1" x14ac:dyDescent="0.2">
      <c r="A3" s="81"/>
      <c r="B3" s="82"/>
      <c r="C3" s="82"/>
      <c r="D3" s="82"/>
      <c r="E3" s="82"/>
      <c r="F3" s="82"/>
      <c r="G3" s="83"/>
    </row>
    <row r="4" spans="1:8" ht="12.75" customHeight="1" x14ac:dyDescent="0.2">
      <c r="A4" s="36" t="s">
        <v>177</v>
      </c>
      <c r="B4" s="36" t="s">
        <v>178</v>
      </c>
      <c r="C4" s="36" t="s">
        <v>179</v>
      </c>
      <c r="D4" s="31" t="s">
        <v>180</v>
      </c>
      <c r="E4" s="36" t="s">
        <v>111</v>
      </c>
      <c r="F4" s="36" t="s">
        <v>181</v>
      </c>
      <c r="G4" s="36" t="s">
        <v>182</v>
      </c>
    </row>
    <row r="5" spans="1:8" ht="12.75" customHeight="1" x14ac:dyDescent="0.2">
      <c r="A5" s="30">
        <v>2</v>
      </c>
      <c r="B5" s="29" t="s">
        <v>186</v>
      </c>
      <c r="C5" s="29" t="s">
        <v>187</v>
      </c>
      <c r="D5" s="37">
        <v>3</v>
      </c>
      <c r="E5" s="29" t="s">
        <v>188</v>
      </c>
      <c r="F5" s="68">
        <v>0.8</v>
      </c>
      <c r="G5" s="68">
        <f t="shared" ref="G5:G26" si="0">D5*F5</f>
        <v>2.4000000000000004</v>
      </c>
    </row>
    <row r="6" spans="1:8" ht="12.75" customHeight="1" x14ac:dyDescent="0.2">
      <c r="A6" s="30">
        <v>3</v>
      </c>
      <c r="B6" s="29" t="s">
        <v>189</v>
      </c>
      <c r="C6" s="29" t="s">
        <v>187</v>
      </c>
      <c r="D6" s="37">
        <v>3</v>
      </c>
      <c r="E6" s="29" t="s">
        <v>190</v>
      </c>
      <c r="F6" s="68">
        <v>0.95</v>
      </c>
      <c r="G6" s="68">
        <f t="shared" si="0"/>
        <v>2.8499999999999996</v>
      </c>
    </row>
    <row r="7" spans="1:8" ht="12.75" customHeight="1" x14ac:dyDescent="0.2">
      <c r="A7" s="30">
        <v>4</v>
      </c>
      <c r="B7" s="29" t="s">
        <v>191</v>
      </c>
      <c r="C7" s="29" t="s">
        <v>187</v>
      </c>
      <c r="D7" s="37">
        <v>1</v>
      </c>
      <c r="E7" s="29" t="s">
        <v>192</v>
      </c>
      <c r="F7" s="68">
        <v>1.5</v>
      </c>
      <c r="G7" s="68">
        <f t="shared" si="0"/>
        <v>1.5</v>
      </c>
    </row>
    <row r="8" spans="1:8" ht="12.75" customHeight="1" x14ac:dyDescent="0.2">
      <c r="A8" s="30">
        <v>5</v>
      </c>
      <c r="B8" s="29" t="s">
        <v>193</v>
      </c>
      <c r="C8" s="29" t="s">
        <v>187</v>
      </c>
      <c r="D8" s="37">
        <v>2</v>
      </c>
      <c r="E8" s="29" t="s">
        <v>194</v>
      </c>
      <c r="F8" s="68">
        <v>7.59</v>
      </c>
      <c r="G8" s="68">
        <f t="shared" si="0"/>
        <v>15.18</v>
      </c>
    </row>
    <row r="9" spans="1:8" ht="12.75" customHeight="1" x14ac:dyDescent="0.2">
      <c r="A9" s="30">
        <v>8</v>
      </c>
      <c r="B9" s="29" t="s">
        <v>199</v>
      </c>
      <c r="C9" s="29" t="s">
        <v>187</v>
      </c>
      <c r="D9" s="37">
        <v>3</v>
      </c>
      <c r="E9" s="29" t="s">
        <v>190</v>
      </c>
      <c r="F9" s="68">
        <v>3.58</v>
      </c>
      <c r="G9" s="68">
        <f t="shared" si="0"/>
        <v>10.74</v>
      </c>
    </row>
    <row r="10" spans="1:8" ht="12.75" customHeight="1" x14ac:dyDescent="0.2">
      <c r="A10" s="30">
        <v>11</v>
      </c>
      <c r="B10" s="29" t="s">
        <v>204</v>
      </c>
      <c r="C10" s="29" t="s">
        <v>187</v>
      </c>
      <c r="D10" s="37">
        <v>3.69</v>
      </c>
      <c r="E10" s="29" t="s">
        <v>190</v>
      </c>
      <c r="F10" s="68">
        <v>2.0499999999999998</v>
      </c>
      <c r="G10" s="68">
        <f t="shared" si="0"/>
        <v>7.5644999999999989</v>
      </c>
    </row>
    <row r="11" spans="1:8" ht="12.75" customHeight="1" x14ac:dyDescent="0.2">
      <c r="A11" s="30">
        <v>13</v>
      </c>
      <c r="B11" s="29" t="s">
        <v>207</v>
      </c>
      <c r="C11" s="29" t="s">
        <v>187</v>
      </c>
      <c r="D11" s="37">
        <v>2</v>
      </c>
      <c r="E11" s="29" t="s">
        <v>208</v>
      </c>
      <c r="F11" s="68">
        <v>3.85</v>
      </c>
      <c r="G11" s="68">
        <f t="shared" si="0"/>
        <v>7.7</v>
      </c>
    </row>
    <row r="12" spans="1:8" ht="12.75" customHeight="1" x14ac:dyDescent="0.2">
      <c r="A12" s="30">
        <v>14</v>
      </c>
      <c r="B12" s="29" t="s">
        <v>209</v>
      </c>
      <c r="C12" s="29" t="s">
        <v>187</v>
      </c>
      <c r="D12" s="37">
        <v>2</v>
      </c>
      <c r="E12" s="29" t="s">
        <v>190</v>
      </c>
      <c r="F12" s="68">
        <v>1.28</v>
      </c>
      <c r="G12" s="68">
        <f t="shared" si="0"/>
        <v>2.56</v>
      </c>
    </row>
    <row r="13" spans="1:8" ht="12.75" customHeight="1" x14ac:dyDescent="0.2">
      <c r="A13" s="30">
        <v>16</v>
      </c>
      <c r="B13" s="29" t="s">
        <v>212</v>
      </c>
      <c r="C13" s="29" t="s">
        <v>187</v>
      </c>
      <c r="D13" s="37">
        <v>2.6</v>
      </c>
      <c r="E13" s="29" t="s">
        <v>190</v>
      </c>
      <c r="F13" s="68">
        <v>4.79</v>
      </c>
      <c r="G13" s="68">
        <f t="shared" si="0"/>
        <v>12.454000000000001</v>
      </c>
    </row>
    <row r="14" spans="1:8" ht="12.75" customHeight="1" x14ac:dyDescent="0.2">
      <c r="A14" s="30">
        <v>19</v>
      </c>
      <c r="B14" s="29" t="s">
        <v>216</v>
      </c>
      <c r="C14" s="29" t="s">
        <v>187</v>
      </c>
      <c r="D14" s="37">
        <v>6</v>
      </c>
      <c r="E14" s="29" t="s">
        <v>188</v>
      </c>
      <c r="F14" s="68">
        <v>1.43</v>
      </c>
      <c r="G14" s="68">
        <f t="shared" si="0"/>
        <v>8.58</v>
      </c>
      <c r="H14" s="70"/>
    </row>
    <row r="15" spans="1:8" ht="12.75" customHeight="1" x14ac:dyDescent="0.2">
      <c r="A15" s="30">
        <v>12</v>
      </c>
      <c r="B15" s="29" t="s">
        <v>205</v>
      </c>
      <c r="C15" s="29" t="s">
        <v>206</v>
      </c>
      <c r="D15" s="37">
        <v>6</v>
      </c>
      <c r="E15" s="29" t="s">
        <v>196</v>
      </c>
      <c r="F15" s="68">
        <v>1.26</v>
      </c>
      <c r="G15" s="68">
        <f t="shared" si="0"/>
        <v>7.5600000000000005</v>
      </c>
    </row>
    <row r="16" spans="1:8" ht="12.75" customHeight="1" x14ac:dyDescent="0.2">
      <c r="A16" s="30">
        <v>15</v>
      </c>
      <c r="B16" s="29" t="s">
        <v>210</v>
      </c>
      <c r="C16" s="29" t="s">
        <v>206</v>
      </c>
      <c r="D16" s="37">
        <v>24</v>
      </c>
      <c r="E16" s="29" t="s">
        <v>211</v>
      </c>
      <c r="F16" s="68">
        <v>1.0900000000000001</v>
      </c>
      <c r="G16" s="68">
        <f t="shared" si="0"/>
        <v>26.160000000000004</v>
      </c>
    </row>
    <row r="17" spans="1:8" ht="12.75" customHeight="1" x14ac:dyDescent="0.2">
      <c r="A17" s="30">
        <v>20</v>
      </c>
      <c r="B17" s="29" t="s">
        <v>217</v>
      </c>
      <c r="C17" s="29" t="s">
        <v>206</v>
      </c>
      <c r="D17" s="37">
        <v>8</v>
      </c>
      <c r="E17" s="29" t="s">
        <v>188</v>
      </c>
      <c r="F17" s="68">
        <v>0.62</v>
      </c>
      <c r="G17" s="68">
        <f t="shared" si="0"/>
        <v>4.96</v>
      </c>
    </row>
    <row r="18" spans="1:8" ht="12.75" customHeight="1" x14ac:dyDescent="0.2">
      <c r="A18" s="30">
        <v>22</v>
      </c>
      <c r="B18" s="29" t="s">
        <v>219</v>
      </c>
      <c r="C18" s="29" t="s">
        <v>220</v>
      </c>
      <c r="D18" s="37">
        <v>3.56</v>
      </c>
      <c r="E18" s="29" t="s">
        <v>190</v>
      </c>
      <c r="F18" s="68">
        <v>0.98</v>
      </c>
      <c r="G18" s="68">
        <f t="shared" si="0"/>
        <v>3.4887999999999999</v>
      </c>
    </row>
    <row r="19" spans="1:8" ht="12.75" customHeight="1" x14ac:dyDescent="0.2">
      <c r="A19" s="30">
        <v>1</v>
      </c>
      <c r="B19" s="29" t="s">
        <v>183</v>
      </c>
      <c r="C19" s="29" t="s">
        <v>184</v>
      </c>
      <c r="D19" s="37">
        <v>1</v>
      </c>
      <c r="E19" s="29" t="s">
        <v>185</v>
      </c>
      <c r="F19" s="68">
        <v>1.5</v>
      </c>
      <c r="G19" s="68">
        <f t="shared" si="0"/>
        <v>1.5</v>
      </c>
    </row>
    <row r="20" spans="1:8" ht="12.75" customHeight="1" x14ac:dyDescent="0.2">
      <c r="A20" s="30">
        <v>6</v>
      </c>
      <c r="B20" s="29" t="s">
        <v>195</v>
      </c>
      <c r="C20" s="29" t="s">
        <v>184</v>
      </c>
      <c r="D20" s="37">
        <v>2</v>
      </c>
      <c r="E20" s="29" t="s">
        <v>196</v>
      </c>
      <c r="F20" s="68">
        <v>4.5199999999999996</v>
      </c>
      <c r="G20" s="68">
        <f t="shared" si="0"/>
        <v>9.0399999999999991</v>
      </c>
    </row>
    <row r="21" spans="1:8" ht="12.75" customHeight="1" x14ac:dyDescent="0.2">
      <c r="A21" s="30">
        <v>7</v>
      </c>
      <c r="B21" s="29" t="s">
        <v>197</v>
      </c>
      <c r="C21" s="29" t="s">
        <v>184</v>
      </c>
      <c r="D21" s="37">
        <v>4</v>
      </c>
      <c r="E21" s="29" t="s">
        <v>198</v>
      </c>
      <c r="F21" s="68">
        <v>0.75</v>
      </c>
      <c r="G21" s="68">
        <f t="shared" si="0"/>
        <v>3</v>
      </c>
    </row>
    <row r="22" spans="1:8" ht="12.75" customHeight="1" x14ac:dyDescent="0.2">
      <c r="A22" s="30">
        <v>9</v>
      </c>
      <c r="B22" s="29" t="s">
        <v>200</v>
      </c>
      <c r="C22" s="29" t="s">
        <v>184</v>
      </c>
      <c r="D22" s="37">
        <v>8</v>
      </c>
      <c r="E22" s="29" t="s">
        <v>201</v>
      </c>
      <c r="F22" s="68">
        <v>0.69</v>
      </c>
      <c r="G22" s="68">
        <f t="shared" si="0"/>
        <v>5.52</v>
      </c>
    </row>
    <row r="23" spans="1:8" ht="12.75" customHeight="1" x14ac:dyDescent="0.2">
      <c r="A23" s="30">
        <v>10</v>
      </c>
      <c r="B23" s="29" t="s">
        <v>202</v>
      </c>
      <c r="C23" s="29" t="s">
        <v>184</v>
      </c>
      <c r="D23" s="37">
        <v>4</v>
      </c>
      <c r="E23" s="29" t="s">
        <v>203</v>
      </c>
      <c r="F23" s="68">
        <v>0.74</v>
      </c>
      <c r="G23" s="68">
        <f t="shared" si="0"/>
        <v>2.96</v>
      </c>
    </row>
    <row r="24" spans="1:8" ht="12.75" customHeight="1" x14ac:dyDescent="0.2">
      <c r="A24" s="30">
        <v>21</v>
      </c>
      <c r="B24" s="29" t="s">
        <v>218</v>
      </c>
      <c r="C24" s="29" t="s">
        <v>184</v>
      </c>
      <c r="D24" s="37">
        <v>1</v>
      </c>
      <c r="E24" s="29" t="s">
        <v>194</v>
      </c>
      <c r="F24" s="68">
        <v>4.68</v>
      </c>
      <c r="G24" s="68">
        <f t="shared" si="0"/>
        <v>4.68</v>
      </c>
    </row>
    <row r="25" spans="1:8" ht="12.75" customHeight="1" x14ac:dyDescent="0.2">
      <c r="A25" s="30">
        <v>17</v>
      </c>
      <c r="B25" s="29" t="s">
        <v>213</v>
      </c>
      <c r="C25" s="29" t="s">
        <v>214</v>
      </c>
      <c r="D25" s="37">
        <v>1.35</v>
      </c>
      <c r="E25" s="29" t="s">
        <v>190</v>
      </c>
      <c r="F25" s="68">
        <v>0.79</v>
      </c>
      <c r="G25" s="68">
        <f t="shared" si="0"/>
        <v>1.0665000000000002</v>
      </c>
    </row>
    <row r="26" spans="1:8" ht="12.75" customHeight="1" x14ac:dyDescent="0.2">
      <c r="A26" s="30">
        <v>18</v>
      </c>
      <c r="B26" s="29" t="s">
        <v>215</v>
      </c>
      <c r="C26" s="29" t="s">
        <v>214</v>
      </c>
      <c r="D26" s="37">
        <v>1.1599999999999999</v>
      </c>
      <c r="E26" s="29" t="s">
        <v>190</v>
      </c>
      <c r="F26" s="68">
        <v>0.67</v>
      </c>
      <c r="G26" s="68">
        <f t="shared" si="0"/>
        <v>0.7772</v>
      </c>
    </row>
    <row r="27" spans="1:8" ht="12.75" customHeight="1" x14ac:dyDescent="0.2">
      <c r="A27" s="100" t="s">
        <v>221</v>
      </c>
      <c r="B27" s="98"/>
      <c r="C27" s="19"/>
      <c r="D27" s="19"/>
      <c r="E27" s="19"/>
      <c r="F27" s="69"/>
      <c r="G27" s="68"/>
      <c r="H27" s="60"/>
    </row>
    <row r="28" spans="1:8" ht="12.75" customHeight="1" x14ac:dyDescent="0.2">
      <c r="A28" s="100" t="s">
        <v>222</v>
      </c>
      <c r="B28" s="98"/>
      <c r="C28" s="19"/>
      <c r="D28" s="19"/>
      <c r="E28" s="19"/>
      <c r="F28" s="69"/>
      <c r="G28" s="68"/>
      <c r="H28" s="60"/>
    </row>
    <row r="29" spans="1:8" ht="12.75" customHeight="1" x14ac:dyDescent="0.2">
      <c r="A29" s="100" t="s">
        <v>223</v>
      </c>
      <c r="B29" s="98"/>
      <c r="C29" s="19"/>
      <c r="D29" s="19"/>
      <c r="E29" s="19"/>
      <c r="F29" s="69"/>
      <c r="G29" s="68"/>
    </row>
    <row r="30" spans="1:8" ht="12.75" customHeight="1" x14ac:dyDescent="0.2">
      <c r="A30" s="101" t="s">
        <v>337</v>
      </c>
      <c r="B30" s="101"/>
      <c r="C30" s="101"/>
      <c r="D30" s="101"/>
      <c r="E30" s="101"/>
      <c r="F30" s="101"/>
      <c r="G30" s="101"/>
    </row>
    <row r="31" spans="1:8" ht="12.75" customHeight="1" x14ac:dyDescent="0.2">
      <c r="A31" s="100" t="s">
        <v>221</v>
      </c>
      <c r="B31" s="98"/>
      <c r="C31" s="29" t="s">
        <v>187</v>
      </c>
      <c r="D31" s="19"/>
      <c r="E31" s="19"/>
      <c r="F31" s="69"/>
      <c r="G31" s="68"/>
    </row>
    <row r="32" spans="1:8" ht="12.75" customHeight="1" x14ac:dyDescent="0.2">
      <c r="A32" s="100" t="s">
        <v>222</v>
      </c>
      <c r="B32" s="98"/>
      <c r="C32" s="29" t="s">
        <v>206</v>
      </c>
      <c r="D32" s="19"/>
      <c r="E32" s="19"/>
      <c r="F32" s="69"/>
      <c r="G32" s="68"/>
    </row>
    <row r="33" spans="1:7" s="60" customFormat="1" ht="12.75" customHeight="1" x14ac:dyDescent="0.2">
      <c r="A33" s="62"/>
      <c r="B33" s="61"/>
      <c r="C33" s="29" t="s">
        <v>220</v>
      </c>
      <c r="D33" s="19"/>
      <c r="E33" s="19"/>
      <c r="F33" s="69"/>
      <c r="G33" s="68"/>
    </row>
    <row r="34" spans="1:7" ht="12.75" customHeight="1" x14ac:dyDescent="0.2">
      <c r="A34" s="100" t="s">
        <v>221</v>
      </c>
      <c r="B34" s="98"/>
      <c r="C34" s="29" t="s">
        <v>184</v>
      </c>
      <c r="D34" s="19"/>
      <c r="E34" s="19"/>
      <c r="F34" s="69"/>
      <c r="G34" s="68"/>
    </row>
    <row r="35" spans="1:7" ht="12.75" customHeight="1" x14ac:dyDescent="0.2">
      <c r="A35" s="100" t="s">
        <v>222</v>
      </c>
      <c r="B35" s="98"/>
      <c r="C35" s="29" t="s">
        <v>214</v>
      </c>
      <c r="D35" s="19"/>
      <c r="E35" s="19"/>
      <c r="F35" s="69"/>
      <c r="G35" s="68"/>
    </row>
    <row r="36" spans="1:7" ht="12.75" customHeight="1" x14ac:dyDescent="0.2"/>
    <row r="37" spans="1:7" ht="12.75" customHeight="1" x14ac:dyDescent="0.2"/>
    <row r="38" spans="1:7" ht="12.75" customHeight="1" x14ac:dyDescent="0.2"/>
    <row r="39" spans="1:7" ht="12.75" customHeight="1" x14ac:dyDescent="0.2"/>
    <row r="40" spans="1:7" ht="12.75" customHeight="1" x14ac:dyDescent="0.2"/>
    <row r="41" spans="1:7" ht="12.75" customHeight="1" x14ac:dyDescent="0.2"/>
    <row r="42" spans="1:7" ht="12.75" customHeight="1" x14ac:dyDescent="0.2"/>
    <row r="43" spans="1:7" ht="12.75" customHeight="1" x14ac:dyDescent="0.2"/>
    <row r="44" spans="1:7" ht="12.75" customHeight="1" x14ac:dyDescent="0.2"/>
    <row r="45" spans="1:7" ht="12.75" customHeight="1" x14ac:dyDescent="0.2"/>
    <row r="46" spans="1:7" ht="12.75" customHeight="1" x14ac:dyDescent="0.2"/>
    <row r="47" spans="1:7" ht="12.75" customHeight="1" x14ac:dyDescent="0.2"/>
    <row r="48" spans="1:7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</sheetData>
  <autoFilter ref="A4:G35" xr:uid="{00000000-0001-0000-0600-000000000000}"/>
  <sortState xmlns:xlrd2="http://schemas.microsoft.com/office/spreadsheetml/2017/richdata2" ref="A5:G26">
    <sortCondition ref="C5:C26"/>
  </sortState>
  <mergeCells count="9">
    <mergeCell ref="A32:B32"/>
    <mergeCell ref="A34:B34"/>
    <mergeCell ref="A35:B35"/>
    <mergeCell ref="A30:G30"/>
    <mergeCell ref="A1:G3"/>
    <mergeCell ref="A27:B27"/>
    <mergeCell ref="A28:B28"/>
    <mergeCell ref="A29:B29"/>
    <mergeCell ref="A31:B31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6DF94-C6C2-4A08-B597-C155EFA0C92C}">
  <dimension ref="A3:A50"/>
  <sheetViews>
    <sheetView workbookViewId="0">
      <selection activeCell="L32" sqref="L32"/>
    </sheetView>
  </sheetViews>
  <sheetFormatPr defaultRowHeight="12.75" x14ac:dyDescent="0.2"/>
  <sheetData>
    <row r="3" spans="1:1" ht="17.25" x14ac:dyDescent="0.2">
      <c r="A3" s="71" t="s">
        <v>338</v>
      </c>
    </row>
    <row r="4" spans="1:1" x14ac:dyDescent="0.2">
      <c r="A4" s="72"/>
    </row>
    <row r="5" spans="1:1" x14ac:dyDescent="0.2">
      <c r="A5" s="73" t="s">
        <v>339</v>
      </c>
    </row>
    <row r="6" spans="1:1" x14ac:dyDescent="0.2">
      <c r="A6" s="73" t="s">
        <v>340</v>
      </c>
    </row>
    <row r="7" spans="1:1" x14ac:dyDescent="0.2">
      <c r="A7" s="73" t="s">
        <v>341</v>
      </c>
    </row>
    <row r="8" spans="1:1" x14ac:dyDescent="0.2">
      <c r="A8" s="73" t="s">
        <v>342</v>
      </c>
    </row>
    <row r="9" spans="1:1" x14ac:dyDescent="0.2">
      <c r="A9" s="74" t="s">
        <v>343</v>
      </c>
    </row>
    <row r="10" spans="1:1" x14ac:dyDescent="0.2">
      <c r="A10" s="74" t="s">
        <v>344</v>
      </c>
    </row>
    <row r="11" spans="1:1" x14ac:dyDescent="0.2">
      <c r="A11" s="74" t="s">
        <v>345</v>
      </c>
    </row>
    <row r="12" spans="1:1" x14ac:dyDescent="0.2">
      <c r="A12" s="73" t="s">
        <v>346</v>
      </c>
    </row>
    <row r="16" spans="1:1" ht="17.25" x14ac:dyDescent="0.2">
      <c r="A16" s="71" t="s">
        <v>347</v>
      </c>
    </row>
    <row r="17" spans="1:1" x14ac:dyDescent="0.2">
      <c r="A17" s="72"/>
    </row>
    <row r="18" spans="1:1" x14ac:dyDescent="0.2">
      <c r="A18" s="73" t="s">
        <v>348</v>
      </c>
    </row>
    <row r="19" spans="1:1" x14ac:dyDescent="0.2">
      <c r="A19" s="73" t="s">
        <v>349</v>
      </c>
    </row>
    <row r="20" spans="1:1" x14ac:dyDescent="0.2">
      <c r="A20" s="73" t="s">
        <v>350</v>
      </c>
    </row>
    <row r="21" spans="1:1" x14ac:dyDescent="0.2">
      <c r="A21" s="73" t="s">
        <v>351</v>
      </c>
    </row>
    <row r="22" spans="1:1" x14ac:dyDescent="0.2">
      <c r="A22" s="73" t="s">
        <v>352</v>
      </c>
    </row>
    <row r="23" spans="1:1" x14ac:dyDescent="0.2">
      <c r="A23" s="73" t="s">
        <v>353</v>
      </c>
    </row>
    <row r="27" spans="1:1" ht="17.25" x14ac:dyDescent="0.2">
      <c r="A27" s="71" t="s">
        <v>354</v>
      </c>
    </row>
    <row r="28" spans="1:1" x14ac:dyDescent="0.2">
      <c r="A28" s="72"/>
    </row>
    <row r="29" spans="1:1" x14ac:dyDescent="0.2">
      <c r="A29" s="73" t="s">
        <v>355</v>
      </c>
    </row>
    <row r="30" spans="1:1" x14ac:dyDescent="0.2">
      <c r="A30" s="73" t="s">
        <v>356</v>
      </c>
    </row>
    <row r="31" spans="1:1" ht="15" x14ac:dyDescent="0.2">
      <c r="A31" s="75" t="s">
        <v>357</v>
      </c>
    </row>
    <row r="32" spans="1:1" x14ac:dyDescent="0.2">
      <c r="A32" s="73" t="s">
        <v>358</v>
      </c>
    </row>
    <row r="33" spans="1:1" x14ac:dyDescent="0.2">
      <c r="A33" s="73" t="s">
        <v>359</v>
      </c>
    </row>
    <row r="34" spans="1:1" x14ac:dyDescent="0.2">
      <c r="A34" s="74" t="s">
        <v>360</v>
      </c>
    </row>
    <row r="35" spans="1:1" x14ac:dyDescent="0.2">
      <c r="A35" s="74" t="s">
        <v>361</v>
      </c>
    </row>
    <row r="36" spans="1:1" x14ac:dyDescent="0.2">
      <c r="A36" s="73" t="s">
        <v>362</v>
      </c>
    </row>
    <row r="37" spans="1:1" x14ac:dyDescent="0.2">
      <c r="A37" s="73" t="s">
        <v>363</v>
      </c>
    </row>
    <row r="41" spans="1:1" ht="17.25" x14ac:dyDescent="0.2">
      <c r="A41" s="71" t="s">
        <v>364</v>
      </c>
    </row>
    <row r="42" spans="1:1" x14ac:dyDescent="0.2">
      <c r="A42" s="72"/>
    </row>
    <row r="43" spans="1:1" x14ac:dyDescent="0.2">
      <c r="A43" s="73" t="s">
        <v>365</v>
      </c>
    </row>
    <row r="44" spans="1:1" x14ac:dyDescent="0.2">
      <c r="A44" s="73" t="s">
        <v>366</v>
      </c>
    </row>
    <row r="45" spans="1:1" x14ac:dyDescent="0.2">
      <c r="A45" s="73" t="s">
        <v>367</v>
      </c>
    </row>
    <row r="46" spans="1:1" x14ac:dyDescent="0.2">
      <c r="A46" s="73" t="s">
        <v>368</v>
      </c>
    </row>
    <row r="47" spans="1:1" x14ac:dyDescent="0.2">
      <c r="A47" s="74" t="s">
        <v>369</v>
      </c>
    </row>
    <row r="48" spans="1:1" x14ac:dyDescent="0.2">
      <c r="A48" s="74" t="s">
        <v>370</v>
      </c>
    </row>
    <row r="49" spans="1:1" x14ac:dyDescent="0.2">
      <c r="A49" s="73" t="s">
        <v>371</v>
      </c>
    </row>
    <row r="50" spans="1:1" x14ac:dyDescent="0.2">
      <c r="A50" s="73" t="s">
        <v>372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E1000"/>
  <sheetViews>
    <sheetView showGridLines="0" workbookViewId="0">
      <selection sqref="A1:E1"/>
    </sheetView>
  </sheetViews>
  <sheetFormatPr defaultColWidth="12.5703125" defaultRowHeight="15" customHeight="1" x14ac:dyDescent="0.2"/>
  <cols>
    <col min="1" max="1" width="12.42578125" customWidth="1"/>
    <col min="2" max="5" width="12.85546875" customWidth="1"/>
    <col min="6" max="26" width="8" customWidth="1"/>
  </cols>
  <sheetData>
    <row r="1" spans="1:5" ht="12.75" customHeight="1" x14ac:dyDescent="0.2">
      <c r="A1" s="105" t="s">
        <v>224</v>
      </c>
      <c r="B1" s="97"/>
      <c r="C1" s="97"/>
      <c r="D1" s="97"/>
      <c r="E1" s="98"/>
    </row>
    <row r="2" spans="1:5" ht="12.75" customHeight="1" x14ac:dyDescent="0.2">
      <c r="A2" s="33"/>
      <c r="B2" s="29"/>
      <c r="C2" s="29"/>
      <c r="D2" s="29"/>
      <c r="E2" s="29"/>
    </row>
    <row r="3" spans="1:5" ht="12.75" customHeight="1" x14ac:dyDescent="0.2">
      <c r="A3" s="38" t="s">
        <v>225</v>
      </c>
      <c r="B3" s="39" t="s">
        <v>145</v>
      </c>
      <c r="C3" s="31" t="s">
        <v>146</v>
      </c>
      <c r="D3" s="31" t="s">
        <v>147</v>
      </c>
      <c r="E3" s="31" t="s">
        <v>144</v>
      </c>
    </row>
    <row r="4" spans="1:5" ht="12.75" customHeight="1" x14ac:dyDescent="0.2">
      <c r="A4" s="38" t="s">
        <v>226</v>
      </c>
      <c r="B4" s="40"/>
      <c r="C4" s="41"/>
      <c r="D4" s="40"/>
      <c r="E4" s="29"/>
    </row>
    <row r="5" spans="1:5" ht="12.75" customHeight="1" x14ac:dyDescent="0.2">
      <c r="A5" s="38" t="s">
        <v>227</v>
      </c>
      <c r="B5" s="42">
        <v>1600</v>
      </c>
      <c r="C5" s="42"/>
      <c r="D5" s="42"/>
      <c r="E5" s="42"/>
    </row>
    <row r="6" spans="1:5" ht="12.75" customHeight="1" x14ac:dyDescent="0.2">
      <c r="A6" s="43"/>
      <c r="B6" s="44"/>
      <c r="C6" s="42"/>
      <c r="D6" s="42"/>
      <c r="E6" s="42"/>
    </row>
    <row r="7" spans="1:5" ht="12.75" customHeight="1" x14ac:dyDescent="0.2">
      <c r="A7" s="38" t="s">
        <v>228</v>
      </c>
      <c r="B7" s="42">
        <v>200</v>
      </c>
      <c r="C7" s="42"/>
      <c r="D7" s="42"/>
      <c r="E7" s="42"/>
    </row>
    <row r="8" spans="1:5" ht="12.75" customHeight="1" x14ac:dyDescent="0.2">
      <c r="A8" s="38" t="s">
        <v>229</v>
      </c>
      <c r="B8" s="42">
        <v>400</v>
      </c>
      <c r="C8" s="42"/>
      <c r="D8" s="42"/>
      <c r="E8" s="42"/>
    </row>
    <row r="9" spans="1:5" ht="12.75" customHeight="1" x14ac:dyDescent="0.2">
      <c r="A9" s="38" t="s">
        <v>230</v>
      </c>
      <c r="B9" s="42">
        <v>100</v>
      </c>
      <c r="C9" s="42"/>
      <c r="D9" s="42"/>
      <c r="E9" s="42"/>
    </row>
    <row r="10" spans="1:5" ht="12.75" customHeight="1" x14ac:dyDescent="0.2">
      <c r="A10" s="38" t="s">
        <v>231</v>
      </c>
      <c r="B10" s="42">
        <v>300</v>
      </c>
      <c r="C10" s="42"/>
      <c r="D10" s="42"/>
      <c r="E10" s="42"/>
    </row>
    <row r="11" spans="1:5" ht="12.75" customHeight="1" x14ac:dyDescent="0.2">
      <c r="A11" s="38" t="s">
        <v>232</v>
      </c>
      <c r="B11" s="42">
        <v>180</v>
      </c>
      <c r="C11" s="42"/>
      <c r="D11" s="42"/>
      <c r="E11" s="42"/>
    </row>
    <row r="12" spans="1:5" ht="12.75" customHeight="1" x14ac:dyDescent="0.2">
      <c r="A12" s="38" t="s">
        <v>233</v>
      </c>
      <c r="B12" s="42">
        <v>170</v>
      </c>
      <c r="C12" s="42"/>
      <c r="D12" s="42"/>
      <c r="E12" s="42"/>
    </row>
    <row r="13" spans="1:5" ht="12.75" customHeight="1" x14ac:dyDescent="0.2">
      <c r="A13" s="38" t="s">
        <v>234</v>
      </c>
      <c r="B13" s="42"/>
      <c r="C13" s="42"/>
      <c r="D13" s="42"/>
      <c r="E13" s="42"/>
    </row>
    <row r="14" spans="1:5" ht="12.75" customHeight="1" x14ac:dyDescent="0.2">
      <c r="A14" s="38" t="s">
        <v>235</v>
      </c>
      <c r="B14" s="42"/>
      <c r="C14" s="42"/>
      <c r="D14" s="42"/>
      <c r="E14" s="42"/>
    </row>
    <row r="15" spans="1:5" ht="12.75" customHeight="1" x14ac:dyDescent="0.2"/>
    <row r="16" spans="1:5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">
    <mergeCell ref="A1:E1"/>
  </mergeCell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3366FF"/>
  </sheetPr>
  <dimension ref="A1:L100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4" sqref="G4"/>
    </sheetView>
  </sheetViews>
  <sheetFormatPr defaultColWidth="12.5703125" defaultRowHeight="15" customHeight="1" x14ac:dyDescent="0.2"/>
  <cols>
    <col min="1" max="2" width="13.7109375" customWidth="1"/>
    <col min="3" max="3" width="13.28515625" customWidth="1"/>
    <col min="4" max="4" width="9.28515625" customWidth="1"/>
    <col min="5" max="5" width="8.42578125" customWidth="1"/>
    <col min="6" max="6" width="8.5703125" customWidth="1"/>
    <col min="7" max="7" width="11.5703125" customWidth="1"/>
    <col min="8" max="8" width="9.7109375" customWidth="1"/>
    <col min="9" max="9" width="8.42578125" customWidth="1"/>
    <col min="10" max="10" width="10.7109375" customWidth="1"/>
    <col min="11" max="26" width="8" customWidth="1"/>
  </cols>
  <sheetData>
    <row r="1" spans="1:12" ht="19.5" customHeight="1" x14ac:dyDescent="0.4">
      <c r="A1" s="106" t="s">
        <v>236</v>
      </c>
      <c r="B1" s="97"/>
      <c r="C1" s="97"/>
      <c r="D1" s="97"/>
      <c r="E1" s="97"/>
      <c r="F1" s="97"/>
      <c r="G1" s="97"/>
      <c r="H1" s="97"/>
      <c r="I1" s="98"/>
    </row>
    <row r="2" spans="1:12" ht="12.75" customHeight="1" x14ac:dyDescent="0.3">
      <c r="A2" s="107"/>
      <c r="B2" s="97"/>
      <c r="C2" s="97"/>
      <c r="D2" s="97"/>
      <c r="E2" s="97"/>
      <c r="F2" s="98"/>
      <c r="G2" s="108" t="s">
        <v>237</v>
      </c>
      <c r="H2" s="98"/>
      <c r="I2" s="45">
        <v>200</v>
      </c>
    </row>
    <row r="3" spans="1:12" ht="12.75" customHeight="1" x14ac:dyDescent="0.2">
      <c r="A3" s="109"/>
      <c r="B3" s="97"/>
      <c r="C3" s="97"/>
      <c r="D3" s="97"/>
      <c r="E3" s="97"/>
      <c r="F3" s="97"/>
      <c r="G3" s="97"/>
      <c r="H3" s="97"/>
      <c r="I3" s="98"/>
    </row>
    <row r="4" spans="1:12" ht="51" customHeight="1" x14ac:dyDescent="0.2">
      <c r="A4" s="46" t="s">
        <v>238</v>
      </c>
      <c r="B4" s="46" t="s">
        <v>239</v>
      </c>
      <c r="C4" s="46" t="s">
        <v>240</v>
      </c>
      <c r="D4" s="46" t="s">
        <v>241</v>
      </c>
      <c r="E4" s="47" t="s">
        <v>242</v>
      </c>
      <c r="F4" s="47" t="s">
        <v>243</v>
      </c>
      <c r="G4" s="46" t="s">
        <v>244</v>
      </c>
      <c r="H4" s="47" t="s">
        <v>245</v>
      </c>
      <c r="I4" s="47" t="s">
        <v>246</v>
      </c>
    </row>
    <row r="5" spans="1:12" ht="12.75" customHeight="1" x14ac:dyDescent="0.2">
      <c r="A5" s="48" t="s">
        <v>247</v>
      </c>
      <c r="B5" s="19" t="s">
        <v>248</v>
      </c>
      <c r="C5" s="19" t="s">
        <v>249</v>
      </c>
      <c r="D5" s="19" t="s">
        <v>250</v>
      </c>
      <c r="E5" s="19">
        <v>759.15</v>
      </c>
      <c r="F5" s="49">
        <v>2</v>
      </c>
      <c r="G5" s="49"/>
      <c r="H5" s="50"/>
      <c r="I5" s="50"/>
      <c r="J5" s="51"/>
      <c r="L5" s="51"/>
    </row>
    <row r="6" spans="1:12" ht="12.75" customHeight="1" x14ac:dyDescent="0.2">
      <c r="A6" s="48" t="s">
        <v>251</v>
      </c>
      <c r="B6" s="19" t="s">
        <v>252</v>
      </c>
      <c r="C6" s="19" t="s">
        <v>253</v>
      </c>
      <c r="D6" s="19" t="s">
        <v>254</v>
      </c>
      <c r="E6" s="19">
        <v>1650</v>
      </c>
      <c r="F6" s="49">
        <v>0</v>
      </c>
      <c r="G6" s="49"/>
      <c r="H6" s="50"/>
      <c r="I6" s="50"/>
    </row>
    <row r="7" spans="1:12" ht="12.75" customHeight="1" x14ac:dyDescent="0.2">
      <c r="A7" s="48" t="s">
        <v>255</v>
      </c>
      <c r="B7" s="19" t="s">
        <v>248</v>
      </c>
      <c r="C7" s="19" t="s">
        <v>249</v>
      </c>
      <c r="D7" s="19" t="s">
        <v>256</v>
      </c>
      <c r="E7" s="19">
        <v>1260</v>
      </c>
      <c r="F7" s="49">
        <v>0</v>
      </c>
      <c r="G7" s="49"/>
      <c r="H7" s="50"/>
      <c r="I7" s="50"/>
    </row>
    <row r="8" spans="1:12" ht="12.75" customHeight="1" x14ac:dyDescent="0.2">
      <c r="A8" s="48" t="s">
        <v>257</v>
      </c>
      <c r="B8" s="19" t="s">
        <v>258</v>
      </c>
      <c r="C8" s="19" t="s">
        <v>259</v>
      </c>
      <c r="D8" s="19" t="s">
        <v>256</v>
      </c>
      <c r="E8" s="19">
        <v>956.25</v>
      </c>
      <c r="F8" s="49">
        <v>0</v>
      </c>
      <c r="G8" s="49"/>
      <c r="H8" s="50"/>
      <c r="I8" s="50"/>
    </row>
    <row r="9" spans="1:12" ht="12.75" customHeight="1" x14ac:dyDescent="0.2">
      <c r="A9" s="48" t="s">
        <v>260</v>
      </c>
      <c r="B9" s="19" t="s">
        <v>248</v>
      </c>
      <c r="C9" s="19" t="s">
        <v>249</v>
      </c>
      <c r="D9" s="19" t="s">
        <v>254</v>
      </c>
      <c r="E9" s="19">
        <v>759.4</v>
      </c>
      <c r="F9" s="52">
        <v>4.5</v>
      </c>
      <c r="G9" s="49"/>
      <c r="H9" s="50"/>
      <c r="I9" s="50"/>
    </row>
    <row r="10" spans="1:12" ht="12.75" customHeight="1" x14ac:dyDescent="0.2">
      <c r="A10" s="48" t="s">
        <v>261</v>
      </c>
      <c r="B10" s="19" t="s">
        <v>248</v>
      </c>
      <c r="C10" s="19" t="s">
        <v>249</v>
      </c>
      <c r="D10" s="19" t="s">
        <v>254</v>
      </c>
      <c r="E10" s="19">
        <v>787.5</v>
      </c>
      <c r="F10" s="52">
        <v>0.5</v>
      </c>
      <c r="G10" s="49"/>
      <c r="H10" s="50"/>
      <c r="I10" s="50"/>
    </row>
    <row r="11" spans="1:12" ht="12.75" customHeight="1" x14ac:dyDescent="0.2">
      <c r="A11" s="48" t="s">
        <v>262</v>
      </c>
      <c r="B11" s="19" t="s">
        <v>252</v>
      </c>
      <c r="C11" s="19" t="s">
        <v>253</v>
      </c>
      <c r="D11" s="19" t="s">
        <v>254</v>
      </c>
      <c r="E11" s="19">
        <v>530.15</v>
      </c>
      <c r="F11" s="49">
        <v>0</v>
      </c>
      <c r="G11" s="49"/>
      <c r="H11" s="50"/>
      <c r="I11" s="50"/>
    </row>
    <row r="12" spans="1:12" ht="12.75" customHeight="1" x14ac:dyDescent="0.2">
      <c r="A12" s="48" t="s">
        <v>263</v>
      </c>
      <c r="B12" s="19" t="s">
        <v>252</v>
      </c>
      <c r="C12" s="19" t="s">
        <v>253</v>
      </c>
      <c r="D12" s="19" t="s">
        <v>250</v>
      </c>
      <c r="E12" s="19">
        <v>2025</v>
      </c>
      <c r="F12" s="49">
        <v>0</v>
      </c>
      <c r="G12" s="49"/>
      <c r="H12" s="50"/>
      <c r="I12" s="50"/>
    </row>
    <row r="13" spans="1:12" ht="12.75" customHeight="1" x14ac:dyDescent="0.2">
      <c r="A13" s="48" t="s">
        <v>264</v>
      </c>
      <c r="B13" s="19" t="s">
        <v>248</v>
      </c>
      <c r="C13" s="19" t="s">
        <v>249</v>
      </c>
      <c r="D13" s="19" t="s">
        <v>250</v>
      </c>
      <c r="E13" s="19">
        <v>485.85</v>
      </c>
      <c r="F13" s="49">
        <v>3</v>
      </c>
      <c r="G13" s="49"/>
      <c r="H13" s="50"/>
      <c r="I13" s="50"/>
    </row>
    <row r="14" spans="1:12" ht="12.75" customHeight="1" x14ac:dyDescent="0.2">
      <c r="A14" s="48" t="s">
        <v>265</v>
      </c>
      <c r="B14" s="19" t="s">
        <v>248</v>
      </c>
      <c r="C14" s="19" t="s">
        <v>266</v>
      </c>
      <c r="D14" s="19" t="s">
        <v>254</v>
      </c>
      <c r="E14" s="19">
        <v>538.15</v>
      </c>
      <c r="F14" s="49">
        <v>3</v>
      </c>
      <c r="G14" s="49"/>
      <c r="H14" s="50"/>
      <c r="I14" s="50"/>
    </row>
    <row r="15" spans="1:12" ht="12.75" customHeight="1" x14ac:dyDescent="0.2">
      <c r="A15" s="48" t="s">
        <v>267</v>
      </c>
      <c r="B15" s="19" t="s">
        <v>252</v>
      </c>
      <c r="C15" s="19" t="s">
        <v>253</v>
      </c>
      <c r="D15" s="19" t="s">
        <v>256</v>
      </c>
      <c r="E15" s="19">
        <v>511.9</v>
      </c>
      <c r="F15" s="49">
        <v>5</v>
      </c>
      <c r="G15" s="49"/>
      <c r="H15" s="50"/>
      <c r="I15" s="50"/>
    </row>
    <row r="16" spans="1:12" ht="12.75" customHeight="1" x14ac:dyDescent="0.2">
      <c r="A16" s="48" t="s">
        <v>268</v>
      </c>
      <c r="B16" s="19" t="s">
        <v>258</v>
      </c>
      <c r="C16" s="19" t="s">
        <v>249</v>
      </c>
      <c r="D16" s="19" t="s">
        <v>254</v>
      </c>
      <c r="E16" s="19">
        <v>900</v>
      </c>
      <c r="F16" s="49">
        <v>2</v>
      </c>
      <c r="G16" s="49"/>
      <c r="H16" s="50"/>
      <c r="I16" s="50"/>
    </row>
    <row r="17" spans="1:9" ht="12.75" customHeight="1" x14ac:dyDescent="0.2">
      <c r="A17" s="48" t="s">
        <v>269</v>
      </c>
      <c r="B17" s="19" t="s">
        <v>248</v>
      </c>
      <c r="C17" s="19" t="s">
        <v>266</v>
      </c>
      <c r="D17" s="19" t="s">
        <v>250</v>
      </c>
      <c r="E17" s="19">
        <v>945</v>
      </c>
      <c r="F17" s="49">
        <v>0</v>
      </c>
      <c r="G17" s="49"/>
      <c r="H17" s="50"/>
      <c r="I17" s="50"/>
    </row>
    <row r="18" spans="1:9" ht="12.75" customHeight="1" x14ac:dyDescent="0.2">
      <c r="A18" s="48" t="s">
        <v>270</v>
      </c>
      <c r="B18" s="19" t="s">
        <v>248</v>
      </c>
      <c r="C18" s="19" t="s">
        <v>266</v>
      </c>
      <c r="D18" s="19" t="s">
        <v>254</v>
      </c>
      <c r="E18" s="19">
        <v>765</v>
      </c>
      <c r="F18" s="49">
        <v>0</v>
      </c>
      <c r="G18" s="49"/>
      <c r="H18" s="50"/>
      <c r="I18" s="50"/>
    </row>
    <row r="19" spans="1:9" ht="12.75" customHeight="1" x14ac:dyDescent="0.2">
      <c r="A19" s="48" t="s">
        <v>271</v>
      </c>
      <c r="B19" s="19" t="s">
        <v>252</v>
      </c>
      <c r="C19" s="19" t="s">
        <v>253</v>
      </c>
      <c r="D19" s="19" t="s">
        <v>250</v>
      </c>
      <c r="E19" s="19">
        <v>925.8</v>
      </c>
      <c r="F19" s="49">
        <v>0</v>
      </c>
      <c r="G19" s="49"/>
      <c r="H19" s="50"/>
      <c r="I19" s="50"/>
    </row>
    <row r="20" spans="1:9" ht="12.75" customHeight="1" x14ac:dyDescent="0.2">
      <c r="A20" s="48" t="s">
        <v>272</v>
      </c>
      <c r="B20" s="19" t="s">
        <v>258</v>
      </c>
      <c r="C20" s="19" t="s">
        <v>266</v>
      </c>
      <c r="D20" s="19" t="s">
        <v>256</v>
      </c>
      <c r="E20" s="19">
        <v>845.75</v>
      </c>
      <c r="F20" s="49">
        <v>2</v>
      </c>
      <c r="G20" s="49"/>
      <c r="H20" s="50"/>
      <c r="I20" s="50"/>
    </row>
    <row r="21" spans="1:9" ht="12.75" customHeight="1" x14ac:dyDescent="0.2">
      <c r="A21" s="48" t="s">
        <v>273</v>
      </c>
      <c r="B21" s="19" t="s">
        <v>258</v>
      </c>
      <c r="C21" s="19" t="s">
        <v>253</v>
      </c>
      <c r="D21" s="19" t="s">
        <v>250</v>
      </c>
      <c r="E21" s="19">
        <v>1113.75</v>
      </c>
      <c r="F21" s="49">
        <v>0</v>
      </c>
      <c r="G21" s="49"/>
      <c r="H21" s="50"/>
      <c r="I21" s="50"/>
    </row>
    <row r="22" spans="1:9" ht="12.75" customHeight="1" x14ac:dyDescent="0.2">
      <c r="A22" s="48" t="s">
        <v>274</v>
      </c>
      <c r="B22" s="19" t="s">
        <v>258</v>
      </c>
      <c r="C22" s="19" t="s">
        <v>275</v>
      </c>
      <c r="D22" s="19" t="s">
        <v>256</v>
      </c>
      <c r="E22" s="19">
        <v>645</v>
      </c>
      <c r="F22" s="49">
        <v>1</v>
      </c>
      <c r="G22" s="49"/>
      <c r="H22" s="50"/>
      <c r="I22" s="50"/>
    </row>
    <row r="23" spans="1:9" ht="12.75" customHeight="1" x14ac:dyDescent="0.2">
      <c r="A23" s="48" t="s">
        <v>276</v>
      </c>
      <c r="B23" s="19" t="s">
        <v>258</v>
      </c>
      <c r="C23" s="19" t="s">
        <v>266</v>
      </c>
      <c r="D23" s="19" t="s">
        <v>254</v>
      </c>
      <c r="E23" s="19">
        <v>920</v>
      </c>
      <c r="F23" s="49">
        <v>3</v>
      </c>
      <c r="G23" s="49"/>
      <c r="H23" s="50"/>
      <c r="I23" s="50"/>
    </row>
    <row r="24" spans="1:9" ht="12.75" customHeight="1" x14ac:dyDescent="0.2">
      <c r="A24" s="48" t="s">
        <v>277</v>
      </c>
      <c r="B24" s="19" t="s">
        <v>258</v>
      </c>
      <c r="C24" s="19" t="s">
        <v>275</v>
      </c>
      <c r="D24" s="19" t="s">
        <v>256</v>
      </c>
      <c r="E24" s="19">
        <v>999.4</v>
      </c>
      <c r="F24" s="52">
        <v>3.5</v>
      </c>
      <c r="G24" s="49"/>
      <c r="H24" s="50"/>
      <c r="I24" s="50"/>
    </row>
    <row r="25" spans="1:9" ht="12.75" customHeight="1" x14ac:dyDescent="0.2">
      <c r="A25" s="48" t="s">
        <v>278</v>
      </c>
      <c r="B25" s="19" t="s">
        <v>252</v>
      </c>
      <c r="C25" s="19" t="s">
        <v>253</v>
      </c>
      <c r="D25" s="19" t="s">
        <v>254</v>
      </c>
      <c r="E25" s="19">
        <v>525.5</v>
      </c>
      <c r="F25" s="52">
        <v>6.5</v>
      </c>
      <c r="G25" s="49"/>
      <c r="H25" s="50"/>
      <c r="I25" s="50"/>
    </row>
    <row r="26" spans="1:9" ht="12.75" customHeight="1" x14ac:dyDescent="0.2">
      <c r="A26" s="48" t="s">
        <v>279</v>
      </c>
      <c r="B26" s="19" t="s">
        <v>248</v>
      </c>
      <c r="C26" s="19" t="s">
        <v>259</v>
      </c>
      <c r="D26" s="19" t="s">
        <v>250</v>
      </c>
      <c r="E26" s="19">
        <v>660</v>
      </c>
      <c r="F26" s="49">
        <v>0</v>
      </c>
      <c r="G26" s="49"/>
      <c r="H26" s="50"/>
      <c r="I26" s="50"/>
    </row>
    <row r="27" spans="1:9" ht="12.75" customHeight="1" x14ac:dyDescent="0.2">
      <c r="A27" s="48" t="s">
        <v>280</v>
      </c>
      <c r="B27" s="19" t="s">
        <v>258</v>
      </c>
      <c r="C27" s="19" t="s">
        <v>266</v>
      </c>
      <c r="D27" s="19" t="s">
        <v>256</v>
      </c>
      <c r="E27" s="19">
        <v>634.95000000000005</v>
      </c>
      <c r="F27" s="49">
        <v>4</v>
      </c>
      <c r="G27" s="49"/>
      <c r="H27" s="50"/>
      <c r="I27" s="50"/>
    </row>
    <row r="28" spans="1:9" ht="12.75" customHeight="1" x14ac:dyDescent="0.2">
      <c r="A28" s="48" t="s">
        <v>281</v>
      </c>
      <c r="B28" s="19" t="s">
        <v>252</v>
      </c>
      <c r="C28" s="19" t="s">
        <v>253</v>
      </c>
      <c r="D28" s="19" t="s">
        <v>254</v>
      </c>
      <c r="E28" s="19">
        <v>532.35</v>
      </c>
      <c r="F28" s="49">
        <v>0</v>
      </c>
      <c r="G28" s="49"/>
      <c r="H28" s="50"/>
      <c r="I28" s="50"/>
    </row>
    <row r="29" spans="1:9" ht="12.75" customHeight="1" x14ac:dyDescent="0.2">
      <c r="A29" s="48" t="s">
        <v>282</v>
      </c>
      <c r="B29" s="19" t="s">
        <v>248</v>
      </c>
      <c r="C29" s="19" t="s">
        <v>249</v>
      </c>
      <c r="D29" s="19" t="s">
        <v>250</v>
      </c>
      <c r="E29" s="19">
        <v>540</v>
      </c>
      <c r="F29" s="49">
        <v>0</v>
      </c>
      <c r="G29" s="49"/>
      <c r="H29" s="50"/>
      <c r="I29" s="50"/>
    </row>
    <row r="30" spans="1:9" ht="12.75" customHeight="1" x14ac:dyDescent="0.2">
      <c r="A30" s="48" t="s">
        <v>283</v>
      </c>
      <c r="B30" s="19" t="s">
        <v>248</v>
      </c>
      <c r="C30" s="19" t="s">
        <v>259</v>
      </c>
      <c r="D30" s="19" t="s">
        <v>250</v>
      </c>
      <c r="E30" s="19">
        <v>845.61</v>
      </c>
      <c r="F30" s="49">
        <v>0</v>
      </c>
      <c r="G30" s="49"/>
      <c r="H30" s="50"/>
      <c r="I30" s="50"/>
    </row>
    <row r="31" spans="1:9" ht="12.75" customHeight="1" x14ac:dyDescent="0.2">
      <c r="A31" s="48" t="s">
        <v>284</v>
      </c>
      <c r="B31" s="19" t="s">
        <v>258</v>
      </c>
      <c r="C31" s="19" t="s">
        <v>275</v>
      </c>
      <c r="D31" s="19" t="s">
        <v>254</v>
      </c>
      <c r="E31" s="19">
        <v>675</v>
      </c>
      <c r="F31" s="49">
        <v>6</v>
      </c>
      <c r="G31" s="49"/>
      <c r="H31" s="50"/>
      <c r="I31" s="50"/>
    </row>
    <row r="32" spans="1:9" ht="12.75" customHeight="1" x14ac:dyDescent="0.2">
      <c r="A32" s="48" t="s">
        <v>285</v>
      </c>
      <c r="B32" s="19" t="s">
        <v>258</v>
      </c>
      <c r="C32" s="19" t="s">
        <v>275</v>
      </c>
      <c r="D32" s="19" t="s">
        <v>254</v>
      </c>
      <c r="E32" s="19">
        <v>928.1</v>
      </c>
      <c r="F32" s="49">
        <v>0</v>
      </c>
      <c r="G32" s="49"/>
      <c r="H32" s="50"/>
      <c r="I32" s="50"/>
    </row>
    <row r="33" spans="1:9" ht="12.75" customHeight="1" x14ac:dyDescent="0.2">
      <c r="A33" s="48" t="s">
        <v>286</v>
      </c>
      <c r="B33" s="19" t="s">
        <v>258</v>
      </c>
      <c r="C33" s="19" t="s">
        <v>249</v>
      </c>
      <c r="D33" s="19" t="s">
        <v>254</v>
      </c>
      <c r="E33" s="19">
        <v>866.25</v>
      </c>
      <c r="F33" s="49">
        <v>7</v>
      </c>
      <c r="G33" s="49"/>
      <c r="H33" s="50"/>
      <c r="I33" s="50"/>
    </row>
    <row r="34" spans="1:9" ht="12.75" customHeight="1" x14ac:dyDescent="0.2">
      <c r="A34" s="48" t="s">
        <v>287</v>
      </c>
      <c r="B34" s="19" t="s">
        <v>248</v>
      </c>
      <c r="C34" s="19" t="s">
        <v>266</v>
      </c>
      <c r="D34" s="19" t="s">
        <v>250</v>
      </c>
      <c r="E34" s="19">
        <v>166.5</v>
      </c>
      <c r="F34" s="49">
        <v>0</v>
      </c>
      <c r="G34" s="49"/>
      <c r="H34" s="50"/>
      <c r="I34" s="50"/>
    </row>
    <row r="35" spans="1:9" ht="12.75" customHeight="1" x14ac:dyDescent="0.2">
      <c r="A35" s="48" t="s">
        <v>288</v>
      </c>
      <c r="B35" s="19" t="s">
        <v>252</v>
      </c>
      <c r="C35" s="19" t="s">
        <v>259</v>
      </c>
      <c r="D35" s="19" t="s">
        <v>254</v>
      </c>
      <c r="E35" s="19">
        <v>928.1</v>
      </c>
      <c r="F35" s="49">
        <v>0</v>
      </c>
      <c r="G35" s="49"/>
      <c r="H35" s="50"/>
      <c r="I35" s="50"/>
    </row>
    <row r="36" spans="1:9" ht="12.75" customHeight="1" x14ac:dyDescent="0.2">
      <c r="A36" s="48" t="s">
        <v>289</v>
      </c>
      <c r="B36" s="19" t="s">
        <v>248</v>
      </c>
      <c r="C36" s="19" t="s">
        <v>249</v>
      </c>
      <c r="D36" s="19" t="s">
        <v>250</v>
      </c>
      <c r="E36" s="19">
        <v>1096.95</v>
      </c>
      <c r="F36" s="49">
        <v>0</v>
      </c>
      <c r="G36" s="49"/>
      <c r="H36" s="50"/>
      <c r="I36" s="50"/>
    </row>
    <row r="37" spans="1:9" ht="12.75" customHeight="1" x14ac:dyDescent="0.2">
      <c r="A37" s="48" t="s">
        <v>290</v>
      </c>
      <c r="B37" s="19" t="s">
        <v>258</v>
      </c>
      <c r="C37" s="19" t="s">
        <v>253</v>
      </c>
      <c r="D37" s="19" t="s">
        <v>250</v>
      </c>
      <c r="E37" s="19">
        <v>689.1</v>
      </c>
      <c r="F37" s="49">
        <v>0</v>
      </c>
      <c r="G37" s="49"/>
      <c r="H37" s="50"/>
      <c r="I37" s="50"/>
    </row>
    <row r="38" spans="1:9" ht="12.75" customHeight="1" x14ac:dyDescent="0.2">
      <c r="A38" s="48" t="s">
        <v>291</v>
      </c>
      <c r="B38" s="19" t="s">
        <v>258</v>
      </c>
      <c r="C38" s="19" t="s">
        <v>275</v>
      </c>
      <c r="D38" s="19" t="s">
        <v>256</v>
      </c>
      <c r="E38" s="19">
        <v>1012.5</v>
      </c>
      <c r="F38" s="49">
        <v>0</v>
      </c>
      <c r="G38" s="49"/>
      <c r="H38" s="50"/>
      <c r="I38" s="50"/>
    </row>
    <row r="39" spans="1:9" ht="12.75" customHeight="1" x14ac:dyDescent="0.2">
      <c r="A39" s="48" t="s">
        <v>292</v>
      </c>
      <c r="B39" s="19" t="s">
        <v>258</v>
      </c>
      <c r="C39" s="19" t="s">
        <v>253</v>
      </c>
      <c r="D39" s="19" t="s">
        <v>254</v>
      </c>
      <c r="E39" s="19">
        <v>525.9</v>
      </c>
      <c r="F39" s="49">
        <v>3</v>
      </c>
      <c r="G39" s="49"/>
      <c r="H39" s="50"/>
      <c r="I39" s="50"/>
    </row>
    <row r="40" spans="1:9" ht="12.75" customHeight="1" x14ac:dyDescent="0.2">
      <c r="A40" s="48" t="s">
        <v>293</v>
      </c>
      <c r="B40" s="19" t="s">
        <v>248</v>
      </c>
      <c r="C40" s="19" t="s">
        <v>249</v>
      </c>
      <c r="D40" s="19" t="s">
        <v>254</v>
      </c>
      <c r="E40" s="19">
        <v>720</v>
      </c>
      <c r="F40" s="49">
        <v>5</v>
      </c>
      <c r="G40" s="49"/>
      <c r="H40" s="50"/>
      <c r="I40" s="50"/>
    </row>
    <row r="41" spans="1:9" ht="12.75" customHeight="1" x14ac:dyDescent="0.2">
      <c r="A41" s="48" t="s">
        <v>294</v>
      </c>
      <c r="B41" s="19" t="s">
        <v>248</v>
      </c>
      <c r="C41" s="19" t="s">
        <v>249</v>
      </c>
      <c r="D41" s="19" t="s">
        <v>250</v>
      </c>
      <c r="E41" s="19">
        <v>635</v>
      </c>
      <c r="F41" s="49">
        <v>0</v>
      </c>
      <c r="G41" s="49"/>
      <c r="H41" s="50"/>
      <c r="I41" s="50"/>
    </row>
    <row r="42" spans="1:9" ht="12.75" customHeight="1" x14ac:dyDescent="0.2">
      <c r="A42" s="48" t="s">
        <v>295</v>
      </c>
      <c r="B42" s="19" t="s">
        <v>248</v>
      </c>
      <c r="C42" s="19" t="s">
        <v>253</v>
      </c>
      <c r="D42" s="19" t="s">
        <v>256</v>
      </c>
      <c r="E42" s="19">
        <v>759.4</v>
      </c>
      <c r="F42" s="49">
        <v>0</v>
      </c>
      <c r="G42" s="49"/>
      <c r="H42" s="50"/>
      <c r="I42" s="50"/>
    </row>
    <row r="43" spans="1:9" ht="12.75" customHeight="1" x14ac:dyDescent="0.2">
      <c r="A43" s="48" t="s">
        <v>296</v>
      </c>
      <c r="B43" s="19" t="s">
        <v>252</v>
      </c>
      <c r="C43" s="19" t="s">
        <v>259</v>
      </c>
      <c r="D43" s="19" t="s">
        <v>256</v>
      </c>
      <c r="E43" s="19">
        <v>584.07000000000005</v>
      </c>
      <c r="F43" s="49">
        <v>0</v>
      </c>
      <c r="G43" s="49"/>
      <c r="H43" s="50"/>
      <c r="I43" s="50"/>
    </row>
    <row r="44" spans="1:9" ht="12.75" customHeight="1" x14ac:dyDescent="0.2">
      <c r="A44" s="48" t="s">
        <v>297</v>
      </c>
      <c r="B44" s="19" t="s">
        <v>258</v>
      </c>
      <c r="C44" s="19" t="s">
        <v>249</v>
      </c>
      <c r="D44" s="19" t="s">
        <v>256</v>
      </c>
      <c r="E44" s="19">
        <v>518.70000000000005</v>
      </c>
      <c r="F44" s="49">
        <v>4</v>
      </c>
      <c r="G44" s="49"/>
      <c r="H44" s="50"/>
      <c r="I44" s="50"/>
    </row>
    <row r="45" spans="1:9" ht="12.75" customHeight="1" x14ac:dyDescent="0.2">
      <c r="A45" s="48" t="s">
        <v>298</v>
      </c>
      <c r="B45" s="19" t="s">
        <v>258</v>
      </c>
      <c r="C45" s="19" t="s">
        <v>275</v>
      </c>
      <c r="D45" s="19" t="s">
        <v>250</v>
      </c>
      <c r="E45" s="19">
        <v>860.61</v>
      </c>
      <c r="F45" s="49">
        <v>7</v>
      </c>
      <c r="G45" s="49"/>
      <c r="H45" s="50"/>
      <c r="I45" s="50"/>
    </row>
    <row r="46" spans="1:9" ht="12.75" customHeight="1" x14ac:dyDescent="0.2">
      <c r="A46" s="48" t="s">
        <v>299</v>
      </c>
      <c r="B46" s="19" t="s">
        <v>252</v>
      </c>
      <c r="C46" s="19" t="s">
        <v>259</v>
      </c>
      <c r="D46" s="19" t="s">
        <v>256</v>
      </c>
      <c r="E46" s="19">
        <v>1729.3</v>
      </c>
      <c r="F46" s="49">
        <v>0</v>
      </c>
      <c r="G46" s="49"/>
      <c r="H46" s="50"/>
      <c r="I46" s="50"/>
    </row>
    <row r="47" spans="1:9" ht="12.75" customHeight="1" x14ac:dyDescent="0.2">
      <c r="A47" s="48" t="s">
        <v>300</v>
      </c>
      <c r="B47" s="19" t="s">
        <v>258</v>
      </c>
      <c r="C47" s="19" t="s">
        <v>249</v>
      </c>
      <c r="D47" s="19" t="s">
        <v>256</v>
      </c>
      <c r="E47" s="19">
        <v>513</v>
      </c>
      <c r="F47" s="49">
        <v>0</v>
      </c>
      <c r="G47" s="49"/>
      <c r="H47" s="50"/>
      <c r="I47" s="50"/>
    </row>
    <row r="48" spans="1:9" ht="12.75" customHeight="1" x14ac:dyDescent="0.2">
      <c r="F48" s="25"/>
      <c r="G48" s="25"/>
    </row>
    <row r="49" spans="6:7" ht="12.75" customHeight="1" x14ac:dyDescent="0.2">
      <c r="F49" s="25"/>
      <c r="G49" s="25"/>
    </row>
    <row r="50" spans="6:7" ht="12.75" customHeight="1" x14ac:dyDescent="0.2">
      <c r="F50" s="25"/>
      <c r="G50" s="25"/>
    </row>
    <row r="51" spans="6:7" ht="12.75" customHeight="1" x14ac:dyDescent="0.2">
      <c r="F51" s="25"/>
      <c r="G51" s="25"/>
    </row>
    <row r="52" spans="6:7" ht="12.75" customHeight="1" x14ac:dyDescent="0.2">
      <c r="F52" s="25"/>
      <c r="G52" s="25"/>
    </row>
    <row r="53" spans="6:7" ht="12.75" customHeight="1" x14ac:dyDescent="0.2">
      <c r="F53" s="25"/>
      <c r="G53" s="25"/>
    </row>
    <row r="54" spans="6:7" ht="12.75" customHeight="1" x14ac:dyDescent="0.2">
      <c r="F54" s="25"/>
      <c r="G54" s="25"/>
    </row>
    <row r="55" spans="6:7" ht="12.75" customHeight="1" x14ac:dyDescent="0.2">
      <c r="F55" s="25"/>
      <c r="G55" s="25"/>
    </row>
    <row r="56" spans="6:7" ht="12.75" customHeight="1" x14ac:dyDescent="0.2">
      <c r="F56" s="25"/>
      <c r="G56" s="25"/>
    </row>
    <row r="57" spans="6:7" ht="12.75" customHeight="1" x14ac:dyDescent="0.2">
      <c r="F57" s="25"/>
      <c r="G57" s="25"/>
    </row>
    <row r="58" spans="6:7" ht="12.75" customHeight="1" x14ac:dyDescent="0.2">
      <c r="F58" s="25"/>
      <c r="G58" s="25"/>
    </row>
    <row r="59" spans="6:7" ht="12.75" customHeight="1" x14ac:dyDescent="0.2">
      <c r="F59" s="25"/>
      <c r="G59" s="25"/>
    </row>
    <row r="60" spans="6:7" ht="12.75" customHeight="1" x14ac:dyDescent="0.2">
      <c r="F60" s="25"/>
      <c r="G60" s="25"/>
    </row>
    <row r="61" spans="6:7" ht="12.75" customHeight="1" x14ac:dyDescent="0.2">
      <c r="F61" s="25"/>
      <c r="G61" s="25"/>
    </row>
    <row r="62" spans="6:7" ht="12.75" customHeight="1" x14ac:dyDescent="0.2">
      <c r="F62" s="25"/>
      <c r="G62" s="25"/>
    </row>
    <row r="63" spans="6:7" ht="12.75" customHeight="1" x14ac:dyDescent="0.2">
      <c r="F63" s="25"/>
      <c r="G63" s="25"/>
    </row>
    <row r="64" spans="6:7" ht="12.75" customHeight="1" x14ac:dyDescent="0.2">
      <c r="F64" s="25"/>
      <c r="G64" s="25"/>
    </row>
    <row r="65" spans="6:7" ht="12.75" customHeight="1" x14ac:dyDescent="0.2">
      <c r="F65" s="25"/>
      <c r="G65" s="25"/>
    </row>
    <row r="66" spans="6:7" ht="12.75" customHeight="1" x14ac:dyDescent="0.2">
      <c r="F66" s="25"/>
      <c r="G66" s="25"/>
    </row>
    <row r="67" spans="6:7" ht="12.75" customHeight="1" x14ac:dyDescent="0.2">
      <c r="F67" s="25"/>
      <c r="G67" s="25"/>
    </row>
    <row r="68" spans="6:7" ht="12.75" customHeight="1" x14ac:dyDescent="0.2">
      <c r="F68" s="25"/>
      <c r="G68" s="25"/>
    </row>
    <row r="69" spans="6:7" ht="12.75" customHeight="1" x14ac:dyDescent="0.2">
      <c r="F69" s="25"/>
      <c r="G69" s="25"/>
    </row>
    <row r="70" spans="6:7" ht="12.75" customHeight="1" x14ac:dyDescent="0.2">
      <c r="F70" s="25"/>
      <c r="G70" s="25"/>
    </row>
    <row r="71" spans="6:7" ht="12.75" customHeight="1" x14ac:dyDescent="0.2">
      <c r="F71" s="25"/>
      <c r="G71" s="25"/>
    </row>
    <row r="72" spans="6:7" ht="12.75" customHeight="1" x14ac:dyDescent="0.2">
      <c r="F72" s="25"/>
      <c r="G72" s="25"/>
    </row>
    <row r="73" spans="6:7" ht="12.75" customHeight="1" x14ac:dyDescent="0.2">
      <c r="F73" s="25"/>
      <c r="G73" s="25"/>
    </row>
    <row r="74" spans="6:7" ht="12.75" customHeight="1" x14ac:dyDescent="0.2">
      <c r="F74" s="25"/>
      <c r="G74" s="25"/>
    </row>
    <row r="75" spans="6:7" ht="12.75" customHeight="1" x14ac:dyDescent="0.2">
      <c r="F75" s="25"/>
      <c r="G75" s="25"/>
    </row>
    <row r="76" spans="6:7" ht="12.75" customHeight="1" x14ac:dyDescent="0.2">
      <c r="F76" s="25"/>
      <c r="G76" s="25"/>
    </row>
    <row r="77" spans="6:7" ht="12.75" customHeight="1" x14ac:dyDescent="0.2">
      <c r="F77" s="25"/>
      <c r="G77" s="25"/>
    </row>
    <row r="78" spans="6:7" ht="12.75" customHeight="1" x14ac:dyDescent="0.2">
      <c r="F78" s="25"/>
      <c r="G78" s="25"/>
    </row>
    <row r="79" spans="6:7" ht="12.75" customHeight="1" x14ac:dyDescent="0.2">
      <c r="F79" s="25"/>
      <c r="G79" s="25"/>
    </row>
    <row r="80" spans="6:7" ht="12.75" customHeight="1" x14ac:dyDescent="0.2">
      <c r="F80" s="25"/>
      <c r="G80" s="25"/>
    </row>
    <row r="81" spans="6:7" ht="12.75" customHeight="1" x14ac:dyDescent="0.2">
      <c r="F81" s="25"/>
      <c r="G81" s="25"/>
    </row>
    <row r="82" spans="6:7" ht="12.75" customHeight="1" x14ac:dyDescent="0.2">
      <c r="F82" s="25"/>
      <c r="G82" s="25"/>
    </row>
    <row r="83" spans="6:7" ht="12.75" customHeight="1" x14ac:dyDescent="0.2">
      <c r="F83" s="25"/>
      <c r="G83" s="25"/>
    </row>
    <row r="84" spans="6:7" ht="12.75" customHeight="1" x14ac:dyDescent="0.2">
      <c r="F84" s="25"/>
      <c r="G84" s="25"/>
    </row>
    <row r="85" spans="6:7" ht="12.75" customHeight="1" x14ac:dyDescent="0.2">
      <c r="F85" s="25"/>
      <c r="G85" s="25"/>
    </row>
    <row r="86" spans="6:7" ht="12.75" customHeight="1" x14ac:dyDescent="0.2">
      <c r="F86" s="25"/>
      <c r="G86" s="25"/>
    </row>
    <row r="87" spans="6:7" ht="12.75" customHeight="1" x14ac:dyDescent="0.2">
      <c r="F87" s="25"/>
      <c r="G87" s="25"/>
    </row>
    <row r="88" spans="6:7" ht="12.75" customHeight="1" x14ac:dyDescent="0.2">
      <c r="F88" s="25"/>
      <c r="G88" s="25"/>
    </row>
    <row r="89" spans="6:7" ht="12.75" customHeight="1" x14ac:dyDescent="0.2">
      <c r="F89" s="25"/>
      <c r="G89" s="25"/>
    </row>
    <row r="90" spans="6:7" ht="12.75" customHeight="1" x14ac:dyDescent="0.2">
      <c r="F90" s="25"/>
      <c r="G90" s="25"/>
    </row>
    <row r="91" spans="6:7" ht="12.75" customHeight="1" x14ac:dyDescent="0.2">
      <c r="F91" s="25"/>
      <c r="G91" s="25"/>
    </row>
    <row r="92" spans="6:7" ht="12.75" customHeight="1" x14ac:dyDescent="0.2">
      <c r="F92" s="25"/>
      <c r="G92" s="25"/>
    </row>
    <row r="93" spans="6:7" ht="12.75" customHeight="1" x14ac:dyDescent="0.2">
      <c r="F93" s="25"/>
      <c r="G93" s="25"/>
    </row>
    <row r="94" spans="6:7" ht="12.75" customHeight="1" x14ac:dyDescent="0.2">
      <c r="F94" s="25"/>
      <c r="G94" s="25"/>
    </row>
    <row r="95" spans="6:7" ht="12.75" customHeight="1" x14ac:dyDescent="0.2">
      <c r="F95" s="25"/>
      <c r="G95" s="25"/>
    </row>
    <row r="96" spans="6:7" ht="12.75" customHeight="1" x14ac:dyDescent="0.2">
      <c r="F96" s="25"/>
      <c r="G96" s="25"/>
    </row>
    <row r="97" spans="6:7" ht="12.75" customHeight="1" x14ac:dyDescent="0.2">
      <c r="F97" s="25"/>
      <c r="G97" s="25"/>
    </row>
    <row r="98" spans="6:7" ht="12.75" customHeight="1" x14ac:dyDescent="0.2">
      <c r="F98" s="25"/>
      <c r="G98" s="25"/>
    </row>
    <row r="99" spans="6:7" ht="12.75" customHeight="1" x14ac:dyDescent="0.2">
      <c r="F99" s="25"/>
      <c r="G99" s="25"/>
    </row>
    <row r="100" spans="6:7" ht="12.75" customHeight="1" x14ac:dyDescent="0.2">
      <c r="F100" s="25"/>
      <c r="G100" s="25"/>
    </row>
    <row r="101" spans="6:7" ht="12.75" customHeight="1" x14ac:dyDescent="0.2">
      <c r="F101" s="25"/>
      <c r="G101" s="25"/>
    </row>
    <row r="102" spans="6:7" ht="12.75" customHeight="1" x14ac:dyDescent="0.2">
      <c r="F102" s="25"/>
      <c r="G102" s="25"/>
    </row>
    <row r="103" spans="6:7" ht="12.75" customHeight="1" x14ac:dyDescent="0.2">
      <c r="F103" s="25"/>
      <c r="G103" s="25"/>
    </row>
    <row r="104" spans="6:7" ht="12.75" customHeight="1" x14ac:dyDescent="0.2">
      <c r="F104" s="25"/>
      <c r="G104" s="25"/>
    </row>
    <row r="105" spans="6:7" ht="12.75" customHeight="1" x14ac:dyDescent="0.2">
      <c r="F105" s="25"/>
      <c r="G105" s="25"/>
    </row>
    <row r="106" spans="6:7" ht="12.75" customHeight="1" x14ac:dyDescent="0.2">
      <c r="F106" s="25"/>
      <c r="G106" s="25"/>
    </row>
    <row r="107" spans="6:7" ht="12.75" customHeight="1" x14ac:dyDescent="0.2">
      <c r="F107" s="25"/>
      <c r="G107" s="25"/>
    </row>
    <row r="108" spans="6:7" ht="12.75" customHeight="1" x14ac:dyDescent="0.2">
      <c r="F108" s="25"/>
      <c r="G108" s="25"/>
    </row>
    <row r="109" spans="6:7" ht="12.75" customHeight="1" x14ac:dyDescent="0.2">
      <c r="F109" s="25"/>
      <c r="G109" s="25"/>
    </row>
    <row r="110" spans="6:7" ht="12.75" customHeight="1" x14ac:dyDescent="0.2">
      <c r="F110" s="25"/>
      <c r="G110" s="25"/>
    </row>
    <row r="111" spans="6:7" ht="12.75" customHeight="1" x14ac:dyDescent="0.2">
      <c r="F111" s="25"/>
      <c r="G111" s="25"/>
    </row>
    <row r="112" spans="6:7" ht="12.75" customHeight="1" x14ac:dyDescent="0.2">
      <c r="F112" s="25"/>
      <c r="G112" s="25"/>
    </row>
    <row r="113" spans="6:7" ht="12.75" customHeight="1" x14ac:dyDescent="0.2">
      <c r="F113" s="25"/>
      <c r="G113" s="25"/>
    </row>
    <row r="114" spans="6:7" ht="12.75" customHeight="1" x14ac:dyDescent="0.2">
      <c r="F114" s="25"/>
      <c r="G114" s="25"/>
    </row>
    <row r="115" spans="6:7" ht="12.75" customHeight="1" x14ac:dyDescent="0.2">
      <c r="F115" s="25"/>
      <c r="G115" s="25"/>
    </row>
    <row r="116" spans="6:7" ht="12.75" customHeight="1" x14ac:dyDescent="0.2">
      <c r="F116" s="25"/>
      <c r="G116" s="25"/>
    </row>
    <row r="117" spans="6:7" ht="12.75" customHeight="1" x14ac:dyDescent="0.2">
      <c r="F117" s="25"/>
      <c r="G117" s="25"/>
    </row>
    <row r="118" spans="6:7" ht="12.75" customHeight="1" x14ac:dyDescent="0.2">
      <c r="F118" s="25"/>
      <c r="G118" s="25"/>
    </row>
    <row r="119" spans="6:7" ht="12.75" customHeight="1" x14ac:dyDescent="0.2">
      <c r="F119" s="25"/>
      <c r="G119" s="25"/>
    </row>
    <row r="120" spans="6:7" ht="12.75" customHeight="1" x14ac:dyDescent="0.2">
      <c r="F120" s="25"/>
      <c r="G120" s="25"/>
    </row>
    <row r="121" spans="6:7" ht="12.75" customHeight="1" x14ac:dyDescent="0.2">
      <c r="F121" s="25"/>
      <c r="G121" s="25"/>
    </row>
    <row r="122" spans="6:7" ht="12.75" customHeight="1" x14ac:dyDescent="0.2">
      <c r="F122" s="25"/>
      <c r="G122" s="25"/>
    </row>
    <row r="123" spans="6:7" ht="12.75" customHeight="1" x14ac:dyDescent="0.2">
      <c r="F123" s="25"/>
      <c r="G123" s="25"/>
    </row>
    <row r="124" spans="6:7" ht="12.75" customHeight="1" x14ac:dyDescent="0.2">
      <c r="F124" s="25"/>
      <c r="G124" s="25"/>
    </row>
    <row r="125" spans="6:7" ht="12.75" customHeight="1" x14ac:dyDescent="0.2">
      <c r="F125" s="25"/>
      <c r="G125" s="25"/>
    </row>
    <row r="126" spans="6:7" ht="12.75" customHeight="1" x14ac:dyDescent="0.2">
      <c r="F126" s="25"/>
      <c r="G126" s="25"/>
    </row>
    <row r="127" spans="6:7" ht="12.75" customHeight="1" x14ac:dyDescent="0.2">
      <c r="F127" s="25"/>
      <c r="G127" s="25"/>
    </row>
    <row r="128" spans="6:7" ht="12.75" customHeight="1" x14ac:dyDescent="0.2">
      <c r="F128" s="25"/>
      <c r="G128" s="25"/>
    </row>
    <row r="129" spans="6:7" ht="12.75" customHeight="1" x14ac:dyDescent="0.2">
      <c r="F129" s="25"/>
      <c r="G129" s="25"/>
    </row>
    <row r="130" spans="6:7" ht="12.75" customHeight="1" x14ac:dyDescent="0.2">
      <c r="F130" s="25"/>
      <c r="G130" s="25"/>
    </row>
    <row r="131" spans="6:7" ht="12.75" customHeight="1" x14ac:dyDescent="0.2">
      <c r="F131" s="25"/>
      <c r="G131" s="25"/>
    </row>
    <row r="132" spans="6:7" ht="12.75" customHeight="1" x14ac:dyDescent="0.2">
      <c r="F132" s="25"/>
      <c r="G132" s="25"/>
    </row>
    <row r="133" spans="6:7" ht="12.75" customHeight="1" x14ac:dyDescent="0.2">
      <c r="F133" s="25"/>
      <c r="G133" s="25"/>
    </row>
    <row r="134" spans="6:7" ht="12.75" customHeight="1" x14ac:dyDescent="0.2">
      <c r="F134" s="25"/>
      <c r="G134" s="25"/>
    </row>
    <row r="135" spans="6:7" ht="12.75" customHeight="1" x14ac:dyDescent="0.2">
      <c r="F135" s="25"/>
      <c r="G135" s="25"/>
    </row>
    <row r="136" spans="6:7" ht="12.75" customHeight="1" x14ac:dyDescent="0.2">
      <c r="F136" s="25"/>
      <c r="G136" s="25"/>
    </row>
    <row r="137" spans="6:7" ht="12.75" customHeight="1" x14ac:dyDescent="0.2">
      <c r="F137" s="25"/>
      <c r="G137" s="25"/>
    </row>
    <row r="138" spans="6:7" ht="12.75" customHeight="1" x14ac:dyDescent="0.2">
      <c r="F138" s="25"/>
      <c r="G138" s="25"/>
    </row>
    <row r="139" spans="6:7" ht="12.75" customHeight="1" x14ac:dyDescent="0.2">
      <c r="F139" s="25"/>
      <c r="G139" s="25"/>
    </row>
    <row r="140" spans="6:7" ht="12.75" customHeight="1" x14ac:dyDescent="0.2">
      <c r="F140" s="25"/>
      <c r="G140" s="25"/>
    </row>
    <row r="141" spans="6:7" ht="12.75" customHeight="1" x14ac:dyDescent="0.2">
      <c r="F141" s="25"/>
      <c r="G141" s="25"/>
    </row>
    <row r="142" spans="6:7" ht="12.75" customHeight="1" x14ac:dyDescent="0.2">
      <c r="F142" s="25"/>
      <c r="G142" s="25"/>
    </row>
    <row r="143" spans="6:7" ht="12.75" customHeight="1" x14ac:dyDescent="0.2">
      <c r="F143" s="25"/>
      <c r="G143" s="25"/>
    </row>
    <row r="144" spans="6:7" ht="12.75" customHeight="1" x14ac:dyDescent="0.2">
      <c r="F144" s="25"/>
      <c r="G144" s="25"/>
    </row>
    <row r="145" spans="6:7" ht="12.75" customHeight="1" x14ac:dyDescent="0.2">
      <c r="F145" s="25"/>
      <c r="G145" s="25"/>
    </row>
    <row r="146" spans="6:7" ht="12.75" customHeight="1" x14ac:dyDescent="0.2">
      <c r="F146" s="25"/>
      <c r="G146" s="25"/>
    </row>
    <row r="147" spans="6:7" ht="12.75" customHeight="1" x14ac:dyDescent="0.2">
      <c r="F147" s="25"/>
      <c r="G147" s="25"/>
    </row>
    <row r="148" spans="6:7" ht="12.75" customHeight="1" x14ac:dyDescent="0.2">
      <c r="F148" s="25"/>
      <c r="G148" s="25"/>
    </row>
    <row r="149" spans="6:7" ht="12.75" customHeight="1" x14ac:dyDescent="0.2">
      <c r="F149" s="25"/>
      <c r="G149" s="25"/>
    </row>
    <row r="150" spans="6:7" ht="12.75" customHeight="1" x14ac:dyDescent="0.2">
      <c r="F150" s="25"/>
      <c r="G150" s="25"/>
    </row>
    <row r="151" spans="6:7" ht="12.75" customHeight="1" x14ac:dyDescent="0.2">
      <c r="F151" s="25"/>
      <c r="G151" s="25"/>
    </row>
    <row r="152" spans="6:7" ht="12.75" customHeight="1" x14ac:dyDescent="0.2">
      <c r="F152" s="25"/>
      <c r="G152" s="25"/>
    </row>
    <row r="153" spans="6:7" ht="12.75" customHeight="1" x14ac:dyDescent="0.2">
      <c r="F153" s="25"/>
      <c r="G153" s="25"/>
    </row>
    <row r="154" spans="6:7" ht="12.75" customHeight="1" x14ac:dyDescent="0.2">
      <c r="F154" s="25"/>
      <c r="G154" s="25"/>
    </row>
    <row r="155" spans="6:7" ht="12.75" customHeight="1" x14ac:dyDescent="0.2">
      <c r="F155" s="25"/>
      <c r="G155" s="25"/>
    </row>
    <row r="156" spans="6:7" ht="12.75" customHeight="1" x14ac:dyDescent="0.2">
      <c r="F156" s="25"/>
      <c r="G156" s="25"/>
    </row>
    <row r="157" spans="6:7" ht="12.75" customHeight="1" x14ac:dyDescent="0.2">
      <c r="F157" s="25"/>
      <c r="G157" s="25"/>
    </row>
    <row r="158" spans="6:7" ht="12.75" customHeight="1" x14ac:dyDescent="0.2">
      <c r="F158" s="25"/>
      <c r="G158" s="25"/>
    </row>
    <row r="159" spans="6:7" ht="12.75" customHeight="1" x14ac:dyDescent="0.2">
      <c r="F159" s="25"/>
      <c r="G159" s="25"/>
    </row>
    <row r="160" spans="6:7" ht="12.75" customHeight="1" x14ac:dyDescent="0.2">
      <c r="F160" s="25"/>
      <c r="G160" s="25"/>
    </row>
    <row r="161" spans="6:7" ht="12.75" customHeight="1" x14ac:dyDescent="0.2">
      <c r="F161" s="25"/>
      <c r="G161" s="25"/>
    </row>
    <row r="162" spans="6:7" ht="12.75" customHeight="1" x14ac:dyDescent="0.2">
      <c r="F162" s="25"/>
      <c r="G162" s="25"/>
    </row>
    <row r="163" spans="6:7" ht="12.75" customHeight="1" x14ac:dyDescent="0.2">
      <c r="F163" s="25"/>
      <c r="G163" s="25"/>
    </row>
    <row r="164" spans="6:7" ht="12.75" customHeight="1" x14ac:dyDescent="0.2">
      <c r="F164" s="25"/>
      <c r="G164" s="25"/>
    </row>
    <row r="165" spans="6:7" ht="12.75" customHeight="1" x14ac:dyDescent="0.2">
      <c r="F165" s="25"/>
      <c r="G165" s="25"/>
    </row>
    <row r="166" spans="6:7" ht="12.75" customHeight="1" x14ac:dyDescent="0.2">
      <c r="F166" s="25"/>
      <c r="G166" s="25"/>
    </row>
    <row r="167" spans="6:7" ht="12.75" customHeight="1" x14ac:dyDescent="0.2">
      <c r="F167" s="25"/>
      <c r="G167" s="25"/>
    </row>
    <row r="168" spans="6:7" ht="12.75" customHeight="1" x14ac:dyDescent="0.2">
      <c r="F168" s="25"/>
      <c r="G168" s="25"/>
    </row>
    <row r="169" spans="6:7" ht="12.75" customHeight="1" x14ac:dyDescent="0.2">
      <c r="F169" s="25"/>
      <c r="G169" s="25"/>
    </row>
    <row r="170" spans="6:7" ht="12.75" customHeight="1" x14ac:dyDescent="0.2">
      <c r="F170" s="25"/>
      <c r="G170" s="25"/>
    </row>
    <row r="171" spans="6:7" ht="12.75" customHeight="1" x14ac:dyDescent="0.2">
      <c r="F171" s="25"/>
      <c r="G171" s="25"/>
    </row>
    <row r="172" spans="6:7" ht="12.75" customHeight="1" x14ac:dyDescent="0.2">
      <c r="F172" s="25"/>
      <c r="G172" s="25"/>
    </row>
    <row r="173" spans="6:7" ht="12.75" customHeight="1" x14ac:dyDescent="0.2">
      <c r="F173" s="25"/>
      <c r="G173" s="25"/>
    </row>
    <row r="174" spans="6:7" ht="12.75" customHeight="1" x14ac:dyDescent="0.2">
      <c r="F174" s="25"/>
      <c r="G174" s="25"/>
    </row>
    <row r="175" spans="6:7" ht="12.75" customHeight="1" x14ac:dyDescent="0.2">
      <c r="F175" s="25"/>
      <c r="G175" s="25"/>
    </row>
    <row r="176" spans="6:7" ht="12.75" customHeight="1" x14ac:dyDescent="0.2">
      <c r="F176" s="25"/>
      <c r="G176" s="25"/>
    </row>
    <row r="177" spans="6:7" ht="12.75" customHeight="1" x14ac:dyDescent="0.2">
      <c r="F177" s="25"/>
      <c r="G177" s="25"/>
    </row>
    <row r="178" spans="6:7" ht="12.75" customHeight="1" x14ac:dyDescent="0.2">
      <c r="F178" s="25"/>
      <c r="G178" s="25"/>
    </row>
    <row r="179" spans="6:7" ht="12.75" customHeight="1" x14ac:dyDescent="0.2">
      <c r="F179" s="25"/>
      <c r="G179" s="25"/>
    </row>
    <row r="180" spans="6:7" ht="12.75" customHeight="1" x14ac:dyDescent="0.2">
      <c r="F180" s="25"/>
      <c r="G180" s="25"/>
    </row>
    <row r="181" spans="6:7" ht="12.75" customHeight="1" x14ac:dyDescent="0.2">
      <c r="F181" s="25"/>
      <c r="G181" s="25"/>
    </row>
    <row r="182" spans="6:7" ht="12.75" customHeight="1" x14ac:dyDescent="0.2">
      <c r="F182" s="25"/>
      <c r="G182" s="25"/>
    </row>
    <row r="183" spans="6:7" ht="12.75" customHeight="1" x14ac:dyDescent="0.2">
      <c r="F183" s="25"/>
      <c r="G183" s="25"/>
    </row>
    <row r="184" spans="6:7" ht="12.75" customHeight="1" x14ac:dyDescent="0.2">
      <c r="F184" s="25"/>
      <c r="G184" s="25"/>
    </row>
    <row r="185" spans="6:7" ht="12.75" customHeight="1" x14ac:dyDescent="0.2">
      <c r="F185" s="25"/>
      <c r="G185" s="25"/>
    </row>
    <row r="186" spans="6:7" ht="12.75" customHeight="1" x14ac:dyDescent="0.2">
      <c r="F186" s="25"/>
      <c r="G186" s="25"/>
    </row>
    <row r="187" spans="6:7" ht="12.75" customHeight="1" x14ac:dyDescent="0.2">
      <c r="F187" s="25"/>
      <c r="G187" s="25"/>
    </row>
    <row r="188" spans="6:7" ht="12.75" customHeight="1" x14ac:dyDescent="0.2">
      <c r="F188" s="25"/>
      <c r="G188" s="25"/>
    </row>
    <row r="189" spans="6:7" ht="12.75" customHeight="1" x14ac:dyDescent="0.2">
      <c r="F189" s="25"/>
      <c r="G189" s="25"/>
    </row>
    <row r="190" spans="6:7" ht="12.75" customHeight="1" x14ac:dyDescent="0.2">
      <c r="F190" s="25"/>
      <c r="G190" s="25"/>
    </row>
    <row r="191" spans="6:7" ht="12.75" customHeight="1" x14ac:dyDescent="0.2">
      <c r="F191" s="25"/>
      <c r="G191" s="25"/>
    </row>
    <row r="192" spans="6:7" ht="12.75" customHeight="1" x14ac:dyDescent="0.2">
      <c r="F192" s="25"/>
      <c r="G192" s="25"/>
    </row>
    <row r="193" spans="6:7" ht="12.75" customHeight="1" x14ac:dyDescent="0.2">
      <c r="F193" s="25"/>
      <c r="G193" s="25"/>
    </row>
    <row r="194" spans="6:7" ht="12.75" customHeight="1" x14ac:dyDescent="0.2">
      <c r="F194" s="25"/>
      <c r="G194" s="25"/>
    </row>
    <row r="195" spans="6:7" ht="12.75" customHeight="1" x14ac:dyDescent="0.2">
      <c r="F195" s="25"/>
      <c r="G195" s="25"/>
    </row>
    <row r="196" spans="6:7" ht="12.75" customHeight="1" x14ac:dyDescent="0.2">
      <c r="F196" s="25"/>
      <c r="G196" s="25"/>
    </row>
    <row r="197" spans="6:7" ht="12.75" customHeight="1" x14ac:dyDescent="0.2">
      <c r="F197" s="25"/>
      <c r="G197" s="25"/>
    </row>
    <row r="198" spans="6:7" ht="12.75" customHeight="1" x14ac:dyDescent="0.2">
      <c r="F198" s="25"/>
      <c r="G198" s="25"/>
    </row>
    <row r="199" spans="6:7" ht="12.75" customHeight="1" x14ac:dyDescent="0.2">
      <c r="F199" s="25"/>
      <c r="G199" s="25"/>
    </row>
    <row r="200" spans="6:7" ht="12.75" customHeight="1" x14ac:dyDescent="0.2">
      <c r="F200" s="25"/>
      <c r="G200" s="25"/>
    </row>
    <row r="201" spans="6:7" ht="12.75" customHeight="1" x14ac:dyDescent="0.2">
      <c r="F201" s="25"/>
      <c r="G201" s="25"/>
    </row>
    <row r="202" spans="6:7" ht="12.75" customHeight="1" x14ac:dyDescent="0.2">
      <c r="F202" s="25"/>
      <c r="G202" s="25"/>
    </row>
    <row r="203" spans="6:7" ht="12.75" customHeight="1" x14ac:dyDescent="0.2">
      <c r="F203" s="25"/>
      <c r="G203" s="25"/>
    </row>
    <row r="204" spans="6:7" ht="12.75" customHeight="1" x14ac:dyDescent="0.2">
      <c r="F204" s="25"/>
      <c r="G204" s="25"/>
    </row>
    <row r="205" spans="6:7" ht="12.75" customHeight="1" x14ac:dyDescent="0.2">
      <c r="F205" s="25"/>
      <c r="G205" s="25"/>
    </row>
    <row r="206" spans="6:7" ht="12.75" customHeight="1" x14ac:dyDescent="0.2">
      <c r="F206" s="25"/>
      <c r="G206" s="25"/>
    </row>
    <row r="207" spans="6:7" ht="12.75" customHeight="1" x14ac:dyDescent="0.2">
      <c r="F207" s="25"/>
      <c r="G207" s="25"/>
    </row>
    <row r="208" spans="6:7" ht="12.75" customHeight="1" x14ac:dyDescent="0.2">
      <c r="F208" s="25"/>
      <c r="G208" s="25"/>
    </row>
    <row r="209" spans="6:7" ht="12.75" customHeight="1" x14ac:dyDescent="0.2">
      <c r="F209" s="25"/>
      <c r="G209" s="25"/>
    </row>
    <row r="210" spans="6:7" ht="12.75" customHeight="1" x14ac:dyDescent="0.2">
      <c r="F210" s="25"/>
      <c r="G210" s="25"/>
    </row>
    <row r="211" spans="6:7" ht="12.75" customHeight="1" x14ac:dyDescent="0.2">
      <c r="F211" s="25"/>
      <c r="G211" s="25"/>
    </row>
    <row r="212" spans="6:7" ht="12.75" customHeight="1" x14ac:dyDescent="0.2">
      <c r="F212" s="25"/>
      <c r="G212" s="25"/>
    </row>
    <row r="213" spans="6:7" ht="12.75" customHeight="1" x14ac:dyDescent="0.2">
      <c r="F213" s="25"/>
      <c r="G213" s="25"/>
    </row>
    <row r="214" spans="6:7" ht="12.75" customHeight="1" x14ac:dyDescent="0.2">
      <c r="F214" s="25"/>
      <c r="G214" s="25"/>
    </row>
    <row r="215" spans="6:7" ht="12.75" customHeight="1" x14ac:dyDescent="0.2">
      <c r="F215" s="25"/>
      <c r="G215" s="25"/>
    </row>
    <row r="216" spans="6:7" ht="12.75" customHeight="1" x14ac:dyDescent="0.2">
      <c r="F216" s="25"/>
      <c r="G216" s="25"/>
    </row>
    <row r="217" spans="6:7" ht="12.75" customHeight="1" x14ac:dyDescent="0.2">
      <c r="F217" s="25"/>
      <c r="G217" s="25"/>
    </row>
    <row r="218" spans="6:7" ht="12.75" customHeight="1" x14ac:dyDescent="0.2">
      <c r="F218" s="25"/>
      <c r="G218" s="25"/>
    </row>
    <row r="219" spans="6:7" ht="12.75" customHeight="1" x14ac:dyDescent="0.2">
      <c r="F219" s="25"/>
      <c r="G219" s="25"/>
    </row>
    <row r="220" spans="6:7" ht="12.75" customHeight="1" x14ac:dyDescent="0.2">
      <c r="F220" s="25"/>
      <c r="G220" s="25"/>
    </row>
    <row r="221" spans="6:7" ht="12.75" customHeight="1" x14ac:dyDescent="0.2">
      <c r="F221" s="25"/>
      <c r="G221" s="25"/>
    </row>
    <row r="222" spans="6:7" ht="12.75" customHeight="1" x14ac:dyDescent="0.2">
      <c r="F222" s="25"/>
      <c r="G222" s="25"/>
    </row>
    <row r="223" spans="6:7" ht="12.75" customHeight="1" x14ac:dyDescent="0.2">
      <c r="F223" s="25"/>
      <c r="G223" s="25"/>
    </row>
    <row r="224" spans="6:7" ht="12.75" customHeight="1" x14ac:dyDescent="0.2">
      <c r="F224" s="25"/>
      <c r="G224" s="25"/>
    </row>
    <row r="225" spans="6:7" ht="12.75" customHeight="1" x14ac:dyDescent="0.2">
      <c r="F225" s="25"/>
      <c r="G225" s="25"/>
    </row>
    <row r="226" spans="6:7" ht="12.75" customHeight="1" x14ac:dyDescent="0.2">
      <c r="F226" s="25"/>
      <c r="G226" s="25"/>
    </row>
    <row r="227" spans="6:7" ht="12.75" customHeight="1" x14ac:dyDescent="0.2">
      <c r="F227" s="25"/>
      <c r="G227" s="25"/>
    </row>
    <row r="228" spans="6:7" ht="12.75" customHeight="1" x14ac:dyDescent="0.2">
      <c r="F228" s="25"/>
      <c r="G228" s="25"/>
    </row>
    <row r="229" spans="6:7" ht="12.75" customHeight="1" x14ac:dyDescent="0.2">
      <c r="F229" s="25"/>
      <c r="G229" s="25"/>
    </row>
    <row r="230" spans="6:7" ht="12.75" customHeight="1" x14ac:dyDescent="0.2">
      <c r="F230" s="25"/>
      <c r="G230" s="25"/>
    </row>
    <row r="231" spans="6:7" ht="12.75" customHeight="1" x14ac:dyDescent="0.2">
      <c r="F231" s="25"/>
      <c r="G231" s="25"/>
    </row>
    <row r="232" spans="6:7" ht="12.75" customHeight="1" x14ac:dyDescent="0.2">
      <c r="F232" s="25"/>
      <c r="G232" s="25"/>
    </row>
    <row r="233" spans="6:7" ht="12.75" customHeight="1" x14ac:dyDescent="0.2">
      <c r="F233" s="25"/>
      <c r="G233" s="25"/>
    </row>
    <row r="234" spans="6:7" ht="12.75" customHeight="1" x14ac:dyDescent="0.2">
      <c r="F234" s="25"/>
      <c r="G234" s="25"/>
    </row>
    <row r="235" spans="6:7" ht="12.75" customHeight="1" x14ac:dyDescent="0.2">
      <c r="F235" s="25"/>
      <c r="G235" s="25"/>
    </row>
    <row r="236" spans="6:7" ht="12.75" customHeight="1" x14ac:dyDescent="0.2">
      <c r="F236" s="25"/>
      <c r="G236" s="25"/>
    </row>
    <row r="237" spans="6:7" ht="12.75" customHeight="1" x14ac:dyDescent="0.2">
      <c r="F237" s="25"/>
      <c r="G237" s="25"/>
    </row>
    <row r="238" spans="6:7" ht="12.75" customHeight="1" x14ac:dyDescent="0.2">
      <c r="F238" s="25"/>
      <c r="G238" s="25"/>
    </row>
    <row r="239" spans="6:7" ht="12.75" customHeight="1" x14ac:dyDescent="0.2">
      <c r="F239" s="25"/>
      <c r="G239" s="25"/>
    </row>
    <row r="240" spans="6:7" ht="12.75" customHeight="1" x14ac:dyDescent="0.2">
      <c r="F240" s="25"/>
      <c r="G240" s="25"/>
    </row>
    <row r="241" spans="6:7" ht="12.75" customHeight="1" x14ac:dyDescent="0.2">
      <c r="F241" s="25"/>
      <c r="G241" s="25"/>
    </row>
    <row r="242" spans="6:7" ht="12.75" customHeight="1" x14ac:dyDescent="0.2">
      <c r="F242" s="25"/>
      <c r="G242" s="25"/>
    </row>
    <row r="243" spans="6:7" ht="12.75" customHeight="1" x14ac:dyDescent="0.2">
      <c r="F243" s="25"/>
      <c r="G243" s="25"/>
    </row>
    <row r="244" spans="6:7" ht="12.75" customHeight="1" x14ac:dyDescent="0.2">
      <c r="F244" s="25"/>
      <c r="G244" s="25"/>
    </row>
    <row r="245" spans="6:7" ht="12.75" customHeight="1" x14ac:dyDescent="0.2">
      <c r="F245" s="25"/>
      <c r="G245" s="25"/>
    </row>
    <row r="246" spans="6:7" ht="12.75" customHeight="1" x14ac:dyDescent="0.2">
      <c r="F246" s="25"/>
      <c r="G246" s="25"/>
    </row>
    <row r="247" spans="6:7" ht="12.75" customHeight="1" x14ac:dyDescent="0.2">
      <c r="F247" s="25"/>
      <c r="G247" s="25"/>
    </row>
    <row r="248" spans="6:7" ht="12.75" customHeight="1" x14ac:dyDescent="0.2">
      <c r="F248" s="25"/>
      <c r="G248" s="25"/>
    </row>
    <row r="249" spans="6:7" ht="12.75" customHeight="1" x14ac:dyDescent="0.2">
      <c r="F249" s="25"/>
      <c r="G249" s="25"/>
    </row>
    <row r="250" spans="6:7" ht="12.75" customHeight="1" x14ac:dyDescent="0.2">
      <c r="F250" s="25"/>
      <c r="G250" s="25"/>
    </row>
    <row r="251" spans="6:7" ht="12.75" customHeight="1" x14ac:dyDescent="0.2">
      <c r="F251" s="25"/>
      <c r="G251" s="25"/>
    </row>
    <row r="252" spans="6:7" ht="12.75" customHeight="1" x14ac:dyDescent="0.2">
      <c r="F252" s="25"/>
      <c r="G252" s="25"/>
    </row>
    <row r="253" spans="6:7" ht="12.75" customHeight="1" x14ac:dyDescent="0.2">
      <c r="F253" s="25"/>
      <c r="G253" s="25"/>
    </row>
    <row r="254" spans="6:7" ht="12.75" customHeight="1" x14ac:dyDescent="0.2">
      <c r="F254" s="25"/>
      <c r="G254" s="25"/>
    </row>
    <row r="255" spans="6:7" ht="12.75" customHeight="1" x14ac:dyDescent="0.2">
      <c r="F255" s="25"/>
      <c r="G255" s="25"/>
    </row>
    <row r="256" spans="6:7" ht="12.75" customHeight="1" x14ac:dyDescent="0.2">
      <c r="F256" s="25"/>
      <c r="G256" s="25"/>
    </row>
    <row r="257" spans="6:7" ht="12.75" customHeight="1" x14ac:dyDescent="0.2">
      <c r="F257" s="25"/>
      <c r="G257" s="25"/>
    </row>
    <row r="258" spans="6:7" ht="12.75" customHeight="1" x14ac:dyDescent="0.2">
      <c r="F258" s="25"/>
      <c r="G258" s="25"/>
    </row>
    <row r="259" spans="6:7" ht="12.75" customHeight="1" x14ac:dyDescent="0.2">
      <c r="F259" s="25"/>
      <c r="G259" s="25"/>
    </row>
    <row r="260" spans="6:7" ht="12.75" customHeight="1" x14ac:dyDescent="0.2">
      <c r="F260" s="25"/>
      <c r="G260" s="25"/>
    </row>
    <row r="261" spans="6:7" ht="12.75" customHeight="1" x14ac:dyDescent="0.2">
      <c r="F261" s="25"/>
      <c r="G261" s="25"/>
    </row>
    <row r="262" spans="6:7" ht="12.75" customHeight="1" x14ac:dyDescent="0.2">
      <c r="F262" s="25"/>
      <c r="G262" s="25"/>
    </row>
    <row r="263" spans="6:7" ht="12.75" customHeight="1" x14ac:dyDescent="0.2">
      <c r="F263" s="25"/>
      <c r="G263" s="25"/>
    </row>
    <row r="264" spans="6:7" ht="12.75" customHeight="1" x14ac:dyDescent="0.2">
      <c r="F264" s="25"/>
      <c r="G264" s="25"/>
    </row>
    <row r="265" spans="6:7" ht="12.75" customHeight="1" x14ac:dyDescent="0.2">
      <c r="F265" s="25"/>
      <c r="G265" s="25"/>
    </row>
    <row r="266" spans="6:7" ht="12.75" customHeight="1" x14ac:dyDescent="0.2">
      <c r="F266" s="25"/>
      <c r="G266" s="25"/>
    </row>
    <row r="267" spans="6:7" ht="12.75" customHeight="1" x14ac:dyDescent="0.2">
      <c r="F267" s="25"/>
      <c r="G267" s="25"/>
    </row>
    <row r="268" spans="6:7" ht="12.75" customHeight="1" x14ac:dyDescent="0.2">
      <c r="F268" s="25"/>
      <c r="G268" s="25"/>
    </row>
    <row r="269" spans="6:7" ht="12.75" customHeight="1" x14ac:dyDescent="0.2">
      <c r="F269" s="25"/>
      <c r="G269" s="25"/>
    </row>
    <row r="270" spans="6:7" ht="12.75" customHeight="1" x14ac:dyDescent="0.2">
      <c r="F270" s="25"/>
      <c r="G270" s="25"/>
    </row>
    <row r="271" spans="6:7" ht="12.75" customHeight="1" x14ac:dyDescent="0.2">
      <c r="F271" s="25"/>
      <c r="G271" s="25"/>
    </row>
    <row r="272" spans="6:7" ht="12.75" customHeight="1" x14ac:dyDescent="0.2">
      <c r="F272" s="25"/>
      <c r="G272" s="25"/>
    </row>
    <row r="273" spans="6:7" ht="12.75" customHeight="1" x14ac:dyDescent="0.2">
      <c r="F273" s="25"/>
      <c r="G273" s="25"/>
    </row>
    <row r="274" spans="6:7" ht="12.75" customHeight="1" x14ac:dyDescent="0.2">
      <c r="F274" s="25"/>
      <c r="G274" s="25"/>
    </row>
    <row r="275" spans="6:7" ht="12.75" customHeight="1" x14ac:dyDescent="0.2">
      <c r="F275" s="25"/>
      <c r="G275" s="25"/>
    </row>
    <row r="276" spans="6:7" ht="12.75" customHeight="1" x14ac:dyDescent="0.2">
      <c r="F276" s="25"/>
      <c r="G276" s="25"/>
    </row>
    <row r="277" spans="6:7" ht="12.75" customHeight="1" x14ac:dyDescent="0.2">
      <c r="F277" s="25"/>
      <c r="G277" s="25"/>
    </row>
    <row r="278" spans="6:7" ht="12.75" customHeight="1" x14ac:dyDescent="0.2">
      <c r="F278" s="25"/>
      <c r="G278" s="25"/>
    </row>
    <row r="279" spans="6:7" ht="12.75" customHeight="1" x14ac:dyDescent="0.2">
      <c r="F279" s="25"/>
      <c r="G279" s="25"/>
    </row>
    <row r="280" spans="6:7" ht="12.75" customHeight="1" x14ac:dyDescent="0.2">
      <c r="F280" s="25"/>
      <c r="G280" s="25"/>
    </row>
    <row r="281" spans="6:7" ht="12.75" customHeight="1" x14ac:dyDescent="0.2">
      <c r="F281" s="25"/>
      <c r="G281" s="25"/>
    </row>
    <row r="282" spans="6:7" ht="12.75" customHeight="1" x14ac:dyDescent="0.2">
      <c r="F282" s="25"/>
      <c r="G282" s="25"/>
    </row>
    <row r="283" spans="6:7" ht="12.75" customHeight="1" x14ac:dyDescent="0.2">
      <c r="F283" s="25"/>
      <c r="G283" s="25"/>
    </row>
    <row r="284" spans="6:7" ht="12.75" customHeight="1" x14ac:dyDescent="0.2">
      <c r="F284" s="25"/>
      <c r="G284" s="25"/>
    </row>
    <row r="285" spans="6:7" ht="12.75" customHeight="1" x14ac:dyDescent="0.2">
      <c r="F285" s="25"/>
      <c r="G285" s="25"/>
    </row>
    <row r="286" spans="6:7" ht="12.75" customHeight="1" x14ac:dyDescent="0.2">
      <c r="F286" s="25"/>
      <c r="G286" s="25"/>
    </row>
    <row r="287" spans="6:7" ht="12.75" customHeight="1" x14ac:dyDescent="0.2">
      <c r="F287" s="25"/>
      <c r="G287" s="25"/>
    </row>
    <row r="288" spans="6:7" ht="12.75" customHeight="1" x14ac:dyDescent="0.2">
      <c r="F288" s="25"/>
      <c r="G288" s="25"/>
    </row>
    <row r="289" spans="6:7" ht="12.75" customHeight="1" x14ac:dyDescent="0.2">
      <c r="F289" s="25"/>
      <c r="G289" s="25"/>
    </row>
    <row r="290" spans="6:7" ht="12.75" customHeight="1" x14ac:dyDescent="0.2">
      <c r="F290" s="25"/>
      <c r="G290" s="25"/>
    </row>
    <row r="291" spans="6:7" ht="12.75" customHeight="1" x14ac:dyDescent="0.2">
      <c r="F291" s="25"/>
      <c r="G291" s="25"/>
    </row>
    <row r="292" spans="6:7" ht="12.75" customHeight="1" x14ac:dyDescent="0.2">
      <c r="F292" s="25"/>
      <c r="G292" s="25"/>
    </row>
    <row r="293" spans="6:7" ht="12.75" customHeight="1" x14ac:dyDescent="0.2">
      <c r="F293" s="25"/>
      <c r="G293" s="25"/>
    </row>
    <row r="294" spans="6:7" ht="12.75" customHeight="1" x14ac:dyDescent="0.2">
      <c r="F294" s="25"/>
      <c r="G294" s="25"/>
    </row>
    <row r="295" spans="6:7" ht="12.75" customHeight="1" x14ac:dyDescent="0.2">
      <c r="F295" s="25"/>
      <c r="G295" s="25"/>
    </row>
    <row r="296" spans="6:7" ht="12.75" customHeight="1" x14ac:dyDescent="0.2">
      <c r="F296" s="25"/>
      <c r="G296" s="25"/>
    </row>
    <row r="297" spans="6:7" ht="12.75" customHeight="1" x14ac:dyDescent="0.2">
      <c r="F297" s="25"/>
      <c r="G297" s="25"/>
    </row>
    <row r="298" spans="6:7" ht="12.75" customHeight="1" x14ac:dyDescent="0.2">
      <c r="F298" s="25"/>
      <c r="G298" s="25"/>
    </row>
    <row r="299" spans="6:7" ht="12.75" customHeight="1" x14ac:dyDescent="0.2">
      <c r="F299" s="25"/>
      <c r="G299" s="25"/>
    </row>
    <row r="300" spans="6:7" ht="12.75" customHeight="1" x14ac:dyDescent="0.2">
      <c r="F300" s="25"/>
      <c r="G300" s="25"/>
    </row>
    <row r="301" spans="6:7" ht="12.75" customHeight="1" x14ac:dyDescent="0.2">
      <c r="F301" s="25"/>
      <c r="G301" s="25"/>
    </row>
    <row r="302" spans="6:7" ht="12.75" customHeight="1" x14ac:dyDescent="0.2">
      <c r="F302" s="25"/>
      <c r="G302" s="25"/>
    </row>
    <row r="303" spans="6:7" ht="12.75" customHeight="1" x14ac:dyDescent="0.2">
      <c r="F303" s="25"/>
      <c r="G303" s="25"/>
    </row>
    <row r="304" spans="6:7" ht="12.75" customHeight="1" x14ac:dyDescent="0.2">
      <c r="F304" s="25"/>
      <c r="G304" s="25"/>
    </row>
    <row r="305" spans="6:7" ht="12.75" customHeight="1" x14ac:dyDescent="0.2">
      <c r="F305" s="25"/>
      <c r="G305" s="25"/>
    </row>
    <row r="306" spans="6:7" ht="12.75" customHeight="1" x14ac:dyDescent="0.2">
      <c r="F306" s="25"/>
      <c r="G306" s="25"/>
    </row>
    <row r="307" spans="6:7" ht="12.75" customHeight="1" x14ac:dyDescent="0.2">
      <c r="F307" s="25"/>
      <c r="G307" s="25"/>
    </row>
    <row r="308" spans="6:7" ht="12.75" customHeight="1" x14ac:dyDescent="0.2">
      <c r="F308" s="25"/>
      <c r="G308" s="25"/>
    </row>
    <row r="309" spans="6:7" ht="12.75" customHeight="1" x14ac:dyDescent="0.2">
      <c r="F309" s="25"/>
      <c r="G309" s="25"/>
    </row>
    <row r="310" spans="6:7" ht="12.75" customHeight="1" x14ac:dyDescent="0.2">
      <c r="F310" s="25"/>
      <c r="G310" s="25"/>
    </row>
    <row r="311" spans="6:7" ht="12.75" customHeight="1" x14ac:dyDescent="0.2">
      <c r="F311" s="25"/>
      <c r="G311" s="25"/>
    </row>
    <row r="312" spans="6:7" ht="12.75" customHeight="1" x14ac:dyDescent="0.2">
      <c r="F312" s="25"/>
      <c r="G312" s="25"/>
    </row>
    <row r="313" spans="6:7" ht="12.75" customHeight="1" x14ac:dyDescent="0.2">
      <c r="F313" s="25"/>
      <c r="G313" s="25"/>
    </row>
    <row r="314" spans="6:7" ht="12.75" customHeight="1" x14ac:dyDescent="0.2">
      <c r="F314" s="25"/>
      <c r="G314" s="25"/>
    </row>
    <row r="315" spans="6:7" ht="12.75" customHeight="1" x14ac:dyDescent="0.2">
      <c r="F315" s="25"/>
      <c r="G315" s="25"/>
    </row>
    <row r="316" spans="6:7" ht="12.75" customHeight="1" x14ac:dyDescent="0.2">
      <c r="F316" s="25"/>
      <c r="G316" s="25"/>
    </row>
    <row r="317" spans="6:7" ht="12.75" customHeight="1" x14ac:dyDescent="0.2">
      <c r="F317" s="25"/>
      <c r="G317" s="25"/>
    </row>
    <row r="318" spans="6:7" ht="12.75" customHeight="1" x14ac:dyDescent="0.2">
      <c r="F318" s="25"/>
      <c r="G318" s="25"/>
    </row>
    <row r="319" spans="6:7" ht="12.75" customHeight="1" x14ac:dyDescent="0.2">
      <c r="F319" s="25"/>
      <c r="G319" s="25"/>
    </row>
    <row r="320" spans="6:7" ht="12.75" customHeight="1" x14ac:dyDescent="0.2">
      <c r="F320" s="25"/>
      <c r="G320" s="25"/>
    </row>
    <row r="321" spans="6:7" ht="12.75" customHeight="1" x14ac:dyDescent="0.2">
      <c r="F321" s="25"/>
      <c r="G321" s="25"/>
    </row>
    <row r="322" spans="6:7" ht="12.75" customHeight="1" x14ac:dyDescent="0.2">
      <c r="F322" s="25"/>
      <c r="G322" s="25"/>
    </row>
    <row r="323" spans="6:7" ht="12.75" customHeight="1" x14ac:dyDescent="0.2">
      <c r="F323" s="25"/>
      <c r="G323" s="25"/>
    </row>
    <row r="324" spans="6:7" ht="12.75" customHeight="1" x14ac:dyDescent="0.2">
      <c r="F324" s="25"/>
      <c r="G324" s="25"/>
    </row>
    <row r="325" spans="6:7" ht="12.75" customHeight="1" x14ac:dyDescent="0.2">
      <c r="F325" s="25"/>
      <c r="G325" s="25"/>
    </row>
    <row r="326" spans="6:7" ht="12.75" customHeight="1" x14ac:dyDescent="0.2">
      <c r="F326" s="25"/>
      <c r="G326" s="25"/>
    </row>
    <row r="327" spans="6:7" ht="12.75" customHeight="1" x14ac:dyDescent="0.2">
      <c r="F327" s="25"/>
      <c r="G327" s="25"/>
    </row>
    <row r="328" spans="6:7" ht="12.75" customHeight="1" x14ac:dyDescent="0.2">
      <c r="F328" s="25"/>
      <c r="G328" s="25"/>
    </row>
    <row r="329" spans="6:7" ht="12.75" customHeight="1" x14ac:dyDescent="0.2">
      <c r="F329" s="25"/>
      <c r="G329" s="25"/>
    </row>
    <row r="330" spans="6:7" ht="12.75" customHeight="1" x14ac:dyDescent="0.2">
      <c r="F330" s="25"/>
      <c r="G330" s="25"/>
    </row>
    <row r="331" spans="6:7" ht="12.75" customHeight="1" x14ac:dyDescent="0.2">
      <c r="F331" s="25"/>
      <c r="G331" s="25"/>
    </row>
    <row r="332" spans="6:7" ht="12.75" customHeight="1" x14ac:dyDescent="0.2">
      <c r="F332" s="25"/>
      <c r="G332" s="25"/>
    </row>
    <row r="333" spans="6:7" ht="12.75" customHeight="1" x14ac:dyDescent="0.2">
      <c r="F333" s="25"/>
      <c r="G333" s="25"/>
    </row>
    <row r="334" spans="6:7" ht="12.75" customHeight="1" x14ac:dyDescent="0.2">
      <c r="F334" s="25"/>
      <c r="G334" s="25"/>
    </row>
    <row r="335" spans="6:7" ht="12.75" customHeight="1" x14ac:dyDescent="0.2">
      <c r="F335" s="25"/>
      <c r="G335" s="25"/>
    </row>
    <row r="336" spans="6:7" ht="12.75" customHeight="1" x14ac:dyDescent="0.2">
      <c r="F336" s="25"/>
      <c r="G336" s="25"/>
    </row>
    <row r="337" spans="6:7" ht="12.75" customHeight="1" x14ac:dyDescent="0.2">
      <c r="F337" s="25"/>
      <c r="G337" s="25"/>
    </row>
    <row r="338" spans="6:7" ht="12.75" customHeight="1" x14ac:dyDescent="0.2">
      <c r="F338" s="25"/>
      <c r="G338" s="25"/>
    </row>
    <row r="339" spans="6:7" ht="12.75" customHeight="1" x14ac:dyDescent="0.2">
      <c r="F339" s="25"/>
      <c r="G339" s="25"/>
    </row>
    <row r="340" spans="6:7" ht="12.75" customHeight="1" x14ac:dyDescent="0.2">
      <c r="F340" s="25"/>
      <c r="G340" s="25"/>
    </row>
    <row r="341" spans="6:7" ht="12.75" customHeight="1" x14ac:dyDescent="0.2">
      <c r="F341" s="25"/>
      <c r="G341" s="25"/>
    </row>
    <row r="342" spans="6:7" ht="12.75" customHeight="1" x14ac:dyDescent="0.2">
      <c r="F342" s="25"/>
      <c r="G342" s="25"/>
    </row>
    <row r="343" spans="6:7" ht="12.75" customHeight="1" x14ac:dyDescent="0.2">
      <c r="F343" s="25"/>
      <c r="G343" s="25"/>
    </row>
    <row r="344" spans="6:7" ht="12.75" customHeight="1" x14ac:dyDescent="0.2">
      <c r="F344" s="25"/>
      <c r="G344" s="25"/>
    </row>
    <row r="345" spans="6:7" ht="12.75" customHeight="1" x14ac:dyDescent="0.2">
      <c r="F345" s="25"/>
      <c r="G345" s="25"/>
    </row>
    <row r="346" spans="6:7" ht="12.75" customHeight="1" x14ac:dyDescent="0.2">
      <c r="F346" s="25"/>
      <c r="G346" s="25"/>
    </row>
    <row r="347" spans="6:7" ht="12.75" customHeight="1" x14ac:dyDescent="0.2">
      <c r="F347" s="25"/>
      <c r="G347" s="25"/>
    </row>
    <row r="348" spans="6:7" ht="12.75" customHeight="1" x14ac:dyDescent="0.2">
      <c r="F348" s="25"/>
      <c r="G348" s="25"/>
    </row>
    <row r="349" spans="6:7" ht="12.75" customHeight="1" x14ac:dyDescent="0.2">
      <c r="F349" s="25"/>
      <c r="G349" s="25"/>
    </row>
    <row r="350" spans="6:7" ht="12.75" customHeight="1" x14ac:dyDescent="0.2">
      <c r="F350" s="25"/>
      <c r="G350" s="25"/>
    </row>
    <row r="351" spans="6:7" ht="12.75" customHeight="1" x14ac:dyDescent="0.2">
      <c r="F351" s="25"/>
      <c r="G351" s="25"/>
    </row>
    <row r="352" spans="6:7" ht="12.75" customHeight="1" x14ac:dyDescent="0.2">
      <c r="F352" s="25"/>
      <c r="G352" s="25"/>
    </row>
    <row r="353" spans="6:7" ht="12.75" customHeight="1" x14ac:dyDescent="0.2">
      <c r="F353" s="25"/>
      <c r="G353" s="25"/>
    </row>
    <row r="354" spans="6:7" ht="12.75" customHeight="1" x14ac:dyDescent="0.2">
      <c r="F354" s="25"/>
      <c r="G354" s="25"/>
    </row>
    <row r="355" spans="6:7" ht="12.75" customHeight="1" x14ac:dyDescent="0.2">
      <c r="F355" s="25"/>
      <c r="G355" s="25"/>
    </row>
    <row r="356" spans="6:7" ht="12.75" customHeight="1" x14ac:dyDescent="0.2">
      <c r="F356" s="25"/>
      <c r="G356" s="25"/>
    </row>
    <row r="357" spans="6:7" ht="12.75" customHeight="1" x14ac:dyDescent="0.2">
      <c r="F357" s="25"/>
      <c r="G357" s="25"/>
    </row>
    <row r="358" spans="6:7" ht="12.75" customHeight="1" x14ac:dyDescent="0.2">
      <c r="F358" s="25"/>
      <c r="G358" s="25"/>
    </row>
    <row r="359" spans="6:7" ht="12.75" customHeight="1" x14ac:dyDescent="0.2">
      <c r="F359" s="25"/>
      <c r="G359" s="25"/>
    </row>
    <row r="360" spans="6:7" ht="12.75" customHeight="1" x14ac:dyDescent="0.2">
      <c r="F360" s="25"/>
      <c r="G360" s="25"/>
    </row>
    <row r="361" spans="6:7" ht="12.75" customHeight="1" x14ac:dyDescent="0.2">
      <c r="F361" s="25"/>
      <c r="G361" s="25"/>
    </row>
    <row r="362" spans="6:7" ht="12.75" customHeight="1" x14ac:dyDescent="0.2">
      <c r="F362" s="25"/>
      <c r="G362" s="25"/>
    </row>
    <row r="363" spans="6:7" ht="12.75" customHeight="1" x14ac:dyDescent="0.2">
      <c r="F363" s="25"/>
      <c r="G363" s="25"/>
    </row>
    <row r="364" spans="6:7" ht="12.75" customHeight="1" x14ac:dyDescent="0.2">
      <c r="F364" s="25"/>
      <c r="G364" s="25"/>
    </row>
    <row r="365" spans="6:7" ht="12.75" customHeight="1" x14ac:dyDescent="0.2">
      <c r="F365" s="25"/>
      <c r="G365" s="25"/>
    </row>
    <row r="366" spans="6:7" ht="12.75" customHeight="1" x14ac:dyDescent="0.2">
      <c r="F366" s="25"/>
      <c r="G366" s="25"/>
    </row>
    <row r="367" spans="6:7" ht="12.75" customHeight="1" x14ac:dyDescent="0.2">
      <c r="F367" s="25"/>
      <c r="G367" s="25"/>
    </row>
    <row r="368" spans="6:7" ht="12.75" customHeight="1" x14ac:dyDescent="0.2">
      <c r="F368" s="25"/>
      <c r="G368" s="25"/>
    </row>
    <row r="369" spans="6:7" ht="12.75" customHeight="1" x14ac:dyDescent="0.2">
      <c r="F369" s="25"/>
      <c r="G369" s="25"/>
    </row>
    <row r="370" spans="6:7" ht="12.75" customHeight="1" x14ac:dyDescent="0.2">
      <c r="F370" s="25"/>
      <c r="G370" s="25"/>
    </row>
    <row r="371" spans="6:7" ht="12.75" customHeight="1" x14ac:dyDescent="0.2">
      <c r="F371" s="25"/>
      <c r="G371" s="25"/>
    </row>
    <row r="372" spans="6:7" ht="12.75" customHeight="1" x14ac:dyDescent="0.2">
      <c r="F372" s="25"/>
      <c r="G372" s="25"/>
    </row>
    <row r="373" spans="6:7" ht="12.75" customHeight="1" x14ac:dyDescent="0.2">
      <c r="F373" s="25"/>
      <c r="G373" s="25"/>
    </row>
    <row r="374" spans="6:7" ht="12.75" customHeight="1" x14ac:dyDescent="0.2">
      <c r="F374" s="25"/>
      <c r="G374" s="25"/>
    </row>
    <row r="375" spans="6:7" ht="12.75" customHeight="1" x14ac:dyDescent="0.2">
      <c r="F375" s="25"/>
      <c r="G375" s="25"/>
    </row>
    <row r="376" spans="6:7" ht="12.75" customHeight="1" x14ac:dyDescent="0.2">
      <c r="F376" s="25"/>
      <c r="G376" s="25"/>
    </row>
    <row r="377" spans="6:7" ht="12.75" customHeight="1" x14ac:dyDescent="0.2">
      <c r="F377" s="25"/>
      <c r="G377" s="25"/>
    </row>
    <row r="378" spans="6:7" ht="12.75" customHeight="1" x14ac:dyDescent="0.2">
      <c r="F378" s="25"/>
      <c r="G378" s="25"/>
    </row>
    <row r="379" spans="6:7" ht="12.75" customHeight="1" x14ac:dyDescent="0.2">
      <c r="F379" s="25"/>
      <c r="G379" s="25"/>
    </row>
    <row r="380" spans="6:7" ht="12.75" customHeight="1" x14ac:dyDescent="0.2">
      <c r="F380" s="25"/>
      <c r="G380" s="25"/>
    </row>
    <row r="381" spans="6:7" ht="12.75" customHeight="1" x14ac:dyDescent="0.2">
      <c r="F381" s="25"/>
      <c r="G381" s="25"/>
    </row>
    <row r="382" spans="6:7" ht="12.75" customHeight="1" x14ac:dyDescent="0.2">
      <c r="F382" s="25"/>
      <c r="G382" s="25"/>
    </row>
    <row r="383" spans="6:7" ht="12.75" customHeight="1" x14ac:dyDescent="0.2">
      <c r="F383" s="25"/>
      <c r="G383" s="25"/>
    </row>
    <row r="384" spans="6:7" ht="12.75" customHeight="1" x14ac:dyDescent="0.2">
      <c r="F384" s="25"/>
      <c r="G384" s="25"/>
    </row>
    <row r="385" spans="6:7" ht="12.75" customHeight="1" x14ac:dyDescent="0.2">
      <c r="F385" s="25"/>
      <c r="G385" s="25"/>
    </row>
    <row r="386" spans="6:7" ht="12.75" customHeight="1" x14ac:dyDescent="0.2">
      <c r="F386" s="25"/>
      <c r="G386" s="25"/>
    </row>
    <row r="387" spans="6:7" ht="12.75" customHeight="1" x14ac:dyDescent="0.2">
      <c r="F387" s="25"/>
      <c r="G387" s="25"/>
    </row>
    <row r="388" spans="6:7" ht="12.75" customHeight="1" x14ac:dyDescent="0.2">
      <c r="F388" s="25"/>
      <c r="G388" s="25"/>
    </row>
    <row r="389" spans="6:7" ht="12.75" customHeight="1" x14ac:dyDescent="0.2">
      <c r="F389" s="25"/>
      <c r="G389" s="25"/>
    </row>
    <row r="390" spans="6:7" ht="12.75" customHeight="1" x14ac:dyDescent="0.2">
      <c r="F390" s="25"/>
      <c r="G390" s="25"/>
    </row>
    <row r="391" spans="6:7" ht="12.75" customHeight="1" x14ac:dyDescent="0.2">
      <c r="F391" s="25"/>
      <c r="G391" s="25"/>
    </row>
    <row r="392" spans="6:7" ht="12.75" customHeight="1" x14ac:dyDescent="0.2">
      <c r="F392" s="25"/>
      <c r="G392" s="25"/>
    </row>
    <row r="393" spans="6:7" ht="12.75" customHeight="1" x14ac:dyDescent="0.2">
      <c r="F393" s="25"/>
      <c r="G393" s="25"/>
    </row>
    <row r="394" spans="6:7" ht="12.75" customHeight="1" x14ac:dyDescent="0.2">
      <c r="F394" s="25"/>
      <c r="G394" s="25"/>
    </row>
    <row r="395" spans="6:7" ht="12.75" customHeight="1" x14ac:dyDescent="0.2">
      <c r="F395" s="25"/>
      <c r="G395" s="25"/>
    </row>
    <row r="396" spans="6:7" ht="12.75" customHeight="1" x14ac:dyDescent="0.2">
      <c r="F396" s="25"/>
      <c r="G396" s="25"/>
    </row>
    <row r="397" spans="6:7" ht="12.75" customHeight="1" x14ac:dyDescent="0.2">
      <c r="F397" s="25"/>
      <c r="G397" s="25"/>
    </row>
    <row r="398" spans="6:7" ht="12.75" customHeight="1" x14ac:dyDescent="0.2">
      <c r="F398" s="25"/>
      <c r="G398" s="25"/>
    </row>
    <row r="399" spans="6:7" ht="12.75" customHeight="1" x14ac:dyDescent="0.2">
      <c r="F399" s="25"/>
      <c r="G399" s="25"/>
    </row>
    <row r="400" spans="6:7" ht="12.75" customHeight="1" x14ac:dyDescent="0.2">
      <c r="F400" s="25"/>
      <c r="G400" s="25"/>
    </row>
    <row r="401" spans="6:7" ht="12.75" customHeight="1" x14ac:dyDescent="0.2">
      <c r="F401" s="25"/>
      <c r="G401" s="25"/>
    </row>
    <row r="402" spans="6:7" ht="12.75" customHeight="1" x14ac:dyDescent="0.2">
      <c r="F402" s="25"/>
      <c r="G402" s="25"/>
    </row>
    <row r="403" spans="6:7" ht="12.75" customHeight="1" x14ac:dyDescent="0.2">
      <c r="F403" s="25"/>
      <c r="G403" s="25"/>
    </row>
    <row r="404" spans="6:7" ht="12.75" customHeight="1" x14ac:dyDescent="0.2">
      <c r="F404" s="25"/>
      <c r="G404" s="25"/>
    </row>
    <row r="405" spans="6:7" ht="12.75" customHeight="1" x14ac:dyDescent="0.2">
      <c r="F405" s="25"/>
      <c r="G405" s="25"/>
    </row>
    <row r="406" spans="6:7" ht="12.75" customHeight="1" x14ac:dyDescent="0.2">
      <c r="F406" s="25"/>
      <c r="G406" s="25"/>
    </row>
    <row r="407" spans="6:7" ht="12.75" customHeight="1" x14ac:dyDescent="0.2">
      <c r="F407" s="25"/>
      <c r="G407" s="25"/>
    </row>
    <row r="408" spans="6:7" ht="12.75" customHeight="1" x14ac:dyDescent="0.2">
      <c r="F408" s="25"/>
      <c r="G408" s="25"/>
    </row>
    <row r="409" spans="6:7" ht="12.75" customHeight="1" x14ac:dyDescent="0.2">
      <c r="F409" s="25"/>
      <c r="G409" s="25"/>
    </row>
    <row r="410" spans="6:7" ht="12.75" customHeight="1" x14ac:dyDescent="0.2">
      <c r="F410" s="25"/>
      <c r="G410" s="25"/>
    </row>
    <row r="411" spans="6:7" ht="12.75" customHeight="1" x14ac:dyDescent="0.2">
      <c r="F411" s="25"/>
      <c r="G411" s="25"/>
    </row>
    <row r="412" spans="6:7" ht="12.75" customHeight="1" x14ac:dyDescent="0.2">
      <c r="F412" s="25"/>
      <c r="G412" s="25"/>
    </row>
    <row r="413" spans="6:7" ht="12.75" customHeight="1" x14ac:dyDescent="0.2">
      <c r="F413" s="25"/>
      <c r="G413" s="25"/>
    </row>
    <row r="414" spans="6:7" ht="12.75" customHeight="1" x14ac:dyDescent="0.2">
      <c r="F414" s="25"/>
      <c r="G414" s="25"/>
    </row>
    <row r="415" spans="6:7" ht="12.75" customHeight="1" x14ac:dyDescent="0.2">
      <c r="F415" s="25"/>
      <c r="G415" s="25"/>
    </row>
    <row r="416" spans="6:7" ht="12.75" customHeight="1" x14ac:dyDescent="0.2">
      <c r="F416" s="25"/>
      <c r="G416" s="25"/>
    </row>
    <row r="417" spans="6:7" ht="12.75" customHeight="1" x14ac:dyDescent="0.2">
      <c r="F417" s="25"/>
      <c r="G417" s="25"/>
    </row>
    <row r="418" spans="6:7" ht="12.75" customHeight="1" x14ac:dyDescent="0.2">
      <c r="F418" s="25"/>
      <c r="G418" s="25"/>
    </row>
    <row r="419" spans="6:7" ht="12.75" customHeight="1" x14ac:dyDescent="0.2">
      <c r="F419" s="25"/>
      <c r="G419" s="25"/>
    </row>
    <row r="420" spans="6:7" ht="12.75" customHeight="1" x14ac:dyDescent="0.2">
      <c r="F420" s="25"/>
      <c r="G420" s="25"/>
    </row>
    <row r="421" spans="6:7" ht="12.75" customHeight="1" x14ac:dyDescent="0.2">
      <c r="F421" s="25"/>
      <c r="G421" s="25"/>
    </row>
    <row r="422" spans="6:7" ht="12.75" customHeight="1" x14ac:dyDescent="0.2">
      <c r="F422" s="25"/>
      <c r="G422" s="25"/>
    </row>
    <row r="423" spans="6:7" ht="12.75" customHeight="1" x14ac:dyDescent="0.2">
      <c r="F423" s="25"/>
      <c r="G423" s="25"/>
    </row>
    <row r="424" spans="6:7" ht="12.75" customHeight="1" x14ac:dyDescent="0.2">
      <c r="F424" s="25"/>
      <c r="G424" s="25"/>
    </row>
    <row r="425" spans="6:7" ht="12.75" customHeight="1" x14ac:dyDescent="0.2">
      <c r="F425" s="25"/>
      <c r="G425" s="25"/>
    </row>
    <row r="426" spans="6:7" ht="12.75" customHeight="1" x14ac:dyDescent="0.2">
      <c r="F426" s="25"/>
      <c r="G426" s="25"/>
    </row>
    <row r="427" spans="6:7" ht="12.75" customHeight="1" x14ac:dyDescent="0.2">
      <c r="F427" s="25"/>
      <c r="G427" s="25"/>
    </row>
    <row r="428" spans="6:7" ht="12.75" customHeight="1" x14ac:dyDescent="0.2">
      <c r="F428" s="25"/>
      <c r="G428" s="25"/>
    </row>
    <row r="429" spans="6:7" ht="12.75" customHeight="1" x14ac:dyDescent="0.2">
      <c r="F429" s="25"/>
      <c r="G429" s="25"/>
    </row>
    <row r="430" spans="6:7" ht="12.75" customHeight="1" x14ac:dyDescent="0.2">
      <c r="F430" s="25"/>
      <c r="G430" s="25"/>
    </row>
    <row r="431" spans="6:7" ht="12.75" customHeight="1" x14ac:dyDescent="0.2">
      <c r="F431" s="25"/>
      <c r="G431" s="25"/>
    </row>
    <row r="432" spans="6:7" ht="12.75" customHeight="1" x14ac:dyDescent="0.2">
      <c r="F432" s="25"/>
      <c r="G432" s="25"/>
    </row>
    <row r="433" spans="6:7" ht="12.75" customHeight="1" x14ac:dyDescent="0.2">
      <c r="F433" s="25"/>
      <c r="G433" s="25"/>
    </row>
    <row r="434" spans="6:7" ht="12.75" customHeight="1" x14ac:dyDescent="0.2">
      <c r="F434" s="25"/>
      <c r="G434" s="25"/>
    </row>
    <row r="435" spans="6:7" ht="12.75" customHeight="1" x14ac:dyDescent="0.2">
      <c r="F435" s="25"/>
      <c r="G435" s="25"/>
    </row>
    <row r="436" spans="6:7" ht="12.75" customHeight="1" x14ac:dyDescent="0.2">
      <c r="F436" s="25"/>
      <c r="G436" s="25"/>
    </row>
    <row r="437" spans="6:7" ht="12.75" customHeight="1" x14ac:dyDescent="0.2">
      <c r="F437" s="25"/>
      <c r="G437" s="25"/>
    </row>
    <row r="438" spans="6:7" ht="12.75" customHeight="1" x14ac:dyDescent="0.2">
      <c r="F438" s="25"/>
      <c r="G438" s="25"/>
    </row>
    <row r="439" spans="6:7" ht="12.75" customHeight="1" x14ac:dyDescent="0.2">
      <c r="F439" s="25"/>
      <c r="G439" s="25"/>
    </row>
    <row r="440" spans="6:7" ht="12.75" customHeight="1" x14ac:dyDescent="0.2">
      <c r="F440" s="25"/>
      <c r="G440" s="25"/>
    </row>
    <row r="441" spans="6:7" ht="12.75" customHeight="1" x14ac:dyDescent="0.2">
      <c r="F441" s="25"/>
      <c r="G441" s="25"/>
    </row>
    <row r="442" spans="6:7" ht="12.75" customHeight="1" x14ac:dyDescent="0.2">
      <c r="F442" s="25"/>
      <c r="G442" s="25"/>
    </row>
    <row r="443" spans="6:7" ht="12.75" customHeight="1" x14ac:dyDescent="0.2">
      <c r="F443" s="25"/>
      <c r="G443" s="25"/>
    </row>
    <row r="444" spans="6:7" ht="12.75" customHeight="1" x14ac:dyDescent="0.2">
      <c r="F444" s="25"/>
      <c r="G444" s="25"/>
    </row>
    <row r="445" spans="6:7" ht="12.75" customHeight="1" x14ac:dyDescent="0.2">
      <c r="F445" s="25"/>
      <c r="G445" s="25"/>
    </row>
    <row r="446" spans="6:7" ht="12.75" customHeight="1" x14ac:dyDescent="0.2">
      <c r="F446" s="25"/>
      <c r="G446" s="25"/>
    </row>
    <row r="447" spans="6:7" ht="12.75" customHeight="1" x14ac:dyDescent="0.2">
      <c r="F447" s="25"/>
      <c r="G447" s="25"/>
    </row>
    <row r="448" spans="6:7" ht="12.75" customHeight="1" x14ac:dyDescent="0.2">
      <c r="F448" s="25"/>
      <c r="G448" s="25"/>
    </row>
    <row r="449" spans="6:7" ht="12.75" customHeight="1" x14ac:dyDescent="0.2">
      <c r="F449" s="25"/>
      <c r="G449" s="25"/>
    </row>
    <row r="450" spans="6:7" ht="12.75" customHeight="1" x14ac:dyDescent="0.2">
      <c r="F450" s="25"/>
      <c r="G450" s="25"/>
    </row>
    <row r="451" spans="6:7" ht="12.75" customHeight="1" x14ac:dyDescent="0.2">
      <c r="F451" s="25"/>
      <c r="G451" s="25"/>
    </row>
    <row r="452" spans="6:7" ht="12.75" customHeight="1" x14ac:dyDescent="0.2">
      <c r="F452" s="25"/>
      <c r="G452" s="25"/>
    </row>
    <row r="453" spans="6:7" ht="12.75" customHeight="1" x14ac:dyDescent="0.2">
      <c r="F453" s="25"/>
      <c r="G453" s="25"/>
    </row>
    <row r="454" spans="6:7" ht="12.75" customHeight="1" x14ac:dyDescent="0.2">
      <c r="F454" s="25"/>
      <c r="G454" s="25"/>
    </row>
    <row r="455" spans="6:7" ht="12.75" customHeight="1" x14ac:dyDescent="0.2">
      <c r="F455" s="25"/>
      <c r="G455" s="25"/>
    </row>
    <row r="456" spans="6:7" ht="12.75" customHeight="1" x14ac:dyDescent="0.2">
      <c r="F456" s="25"/>
      <c r="G456" s="25"/>
    </row>
    <row r="457" spans="6:7" ht="12.75" customHeight="1" x14ac:dyDescent="0.2">
      <c r="F457" s="25"/>
      <c r="G457" s="25"/>
    </row>
    <row r="458" spans="6:7" ht="12.75" customHeight="1" x14ac:dyDescent="0.2">
      <c r="F458" s="25"/>
      <c r="G458" s="25"/>
    </row>
    <row r="459" spans="6:7" ht="12.75" customHeight="1" x14ac:dyDescent="0.2">
      <c r="F459" s="25"/>
      <c r="G459" s="25"/>
    </row>
    <row r="460" spans="6:7" ht="12.75" customHeight="1" x14ac:dyDescent="0.2">
      <c r="F460" s="25"/>
      <c r="G460" s="25"/>
    </row>
    <row r="461" spans="6:7" ht="12.75" customHeight="1" x14ac:dyDescent="0.2">
      <c r="F461" s="25"/>
      <c r="G461" s="25"/>
    </row>
    <row r="462" spans="6:7" ht="12.75" customHeight="1" x14ac:dyDescent="0.2">
      <c r="F462" s="25"/>
      <c r="G462" s="25"/>
    </row>
    <row r="463" spans="6:7" ht="12.75" customHeight="1" x14ac:dyDescent="0.2">
      <c r="F463" s="25"/>
      <c r="G463" s="25"/>
    </row>
    <row r="464" spans="6:7" ht="12.75" customHeight="1" x14ac:dyDescent="0.2">
      <c r="F464" s="25"/>
      <c r="G464" s="25"/>
    </row>
    <row r="465" spans="6:7" ht="12.75" customHeight="1" x14ac:dyDescent="0.2">
      <c r="F465" s="25"/>
      <c r="G465" s="25"/>
    </row>
    <row r="466" spans="6:7" ht="12.75" customHeight="1" x14ac:dyDescent="0.2">
      <c r="F466" s="25"/>
      <c r="G466" s="25"/>
    </row>
    <row r="467" spans="6:7" ht="12.75" customHeight="1" x14ac:dyDescent="0.2">
      <c r="F467" s="25"/>
      <c r="G467" s="25"/>
    </row>
    <row r="468" spans="6:7" ht="12.75" customHeight="1" x14ac:dyDescent="0.2">
      <c r="F468" s="25"/>
      <c r="G468" s="25"/>
    </row>
    <row r="469" spans="6:7" ht="12.75" customHeight="1" x14ac:dyDescent="0.2">
      <c r="F469" s="25"/>
      <c r="G469" s="25"/>
    </row>
    <row r="470" spans="6:7" ht="12.75" customHeight="1" x14ac:dyDescent="0.2">
      <c r="F470" s="25"/>
      <c r="G470" s="25"/>
    </row>
    <row r="471" spans="6:7" ht="12.75" customHeight="1" x14ac:dyDescent="0.2">
      <c r="F471" s="25"/>
      <c r="G471" s="25"/>
    </row>
    <row r="472" spans="6:7" ht="12.75" customHeight="1" x14ac:dyDescent="0.2">
      <c r="F472" s="25"/>
      <c r="G472" s="25"/>
    </row>
    <row r="473" spans="6:7" ht="12.75" customHeight="1" x14ac:dyDescent="0.2">
      <c r="F473" s="25"/>
      <c r="G473" s="25"/>
    </row>
    <row r="474" spans="6:7" ht="12.75" customHeight="1" x14ac:dyDescent="0.2">
      <c r="F474" s="25"/>
      <c r="G474" s="25"/>
    </row>
    <row r="475" spans="6:7" ht="12.75" customHeight="1" x14ac:dyDescent="0.2">
      <c r="F475" s="25"/>
      <c r="G475" s="25"/>
    </row>
    <row r="476" spans="6:7" ht="12.75" customHeight="1" x14ac:dyDescent="0.2">
      <c r="F476" s="25"/>
      <c r="G476" s="25"/>
    </row>
    <row r="477" spans="6:7" ht="12.75" customHeight="1" x14ac:dyDescent="0.2">
      <c r="F477" s="25"/>
      <c r="G477" s="25"/>
    </row>
    <row r="478" spans="6:7" ht="12.75" customHeight="1" x14ac:dyDescent="0.2">
      <c r="F478" s="25"/>
      <c r="G478" s="25"/>
    </row>
    <row r="479" spans="6:7" ht="12.75" customHeight="1" x14ac:dyDescent="0.2">
      <c r="F479" s="25"/>
      <c r="G479" s="25"/>
    </row>
    <row r="480" spans="6:7" ht="12.75" customHeight="1" x14ac:dyDescent="0.2">
      <c r="F480" s="25"/>
      <c r="G480" s="25"/>
    </row>
    <row r="481" spans="6:7" ht="12.75" customHeight="1" x14ac:dyDescent="0.2">
      <c r="F481" s="25"/>
      <c r="G481" s="25"/>
    </row>
    <row r="482" spans="6:7" ht="12.75" customHeight="1" x14ac:dyDescent="0.2">
      <c r="F482" s="25"/>
      <c r="G482" s="25"/>
    </row>
    <row r="483" spans="6:7" ht="12.75" customHeight="1" x14ac:dyDescent="0.2">
      <c r="F483" s="25"/>
      <c r="G483" s="25"/>
    </row>
    <row r="484" spans="6:7" ht="12.75" customHeight="1" x14ac:dyDescent="0.2">
      <c r="F484" s="25"/>
      <c r="G484" s="25"/>
    </row>
    <row r="485" spans="6:7" ht="12.75" customHeight="1" x14ac:dyDescent="0.2">
      <c r="F485" s="25"/>
      <c r="G485" s="25"/>
    </row>
    <row r="486" spans="6:7" ht="12.75" customHeight="1" x14ac:dyDescent="0.2">
      <c r="F486" s="25"/>
      <c r="G486" s="25"/>
    </row>
    <row r="487" spans="6:7" ht="12.75" customHeight="1" x14ac:dyDescent="0.2">
      <c r="F487" s="25"/>
      <c r="G487" s="25"/>
    </row>
    <row r="488" spans="6:7" ht="12.75" customHeight="1" x14ac:dyDescent="0.2">
      <c r="F488" s="25"/>
      <c r="G488" s="25"/>
    </row>
    <row r="489" spans="6:7" ht="12.75" customHeight="1" x14ac:dyDescent="0.2">
      <c r="F489" s="25"/>
      <c r="G489" s="25"/>
    </row>
    <row r="490" spans="6:7" ht="12.75" customHeight="1" x14ac:dyDescent="0.2">
      <c r="F490" s="25"/>
      <c r="G490" s="25"/>
    </row>
    <row r="491" spans="6:7" ht="12.75" customHeight="1" x14ac:dyDescent="0.2">
      <c r="F491" s="25"/>
      <c r="G491" s="25"/>
    </row>
    <row r="492" spans="6:7" ht="12.75" customHeight="1" x14ac:dyDescent="0.2">
      <c r="F492" s="25"/>
      <c r="G492" s="25"/>
    </row>
    <row r="493" spans="6:7" ht="12.75" customHeight="1" x14ac:dyDescent="0.2">
      <c r="F493" s="25"/>
      <c r="G493" s="25"/>
    </row>
    <row r="494" spans="6:7" ht="12.75" customHeight="1" x14ac:dyDescent="0.2">
      <c r="F494" s="25"/>
      <c r="G494" s="25"/>
    </row>
    <row r="495" spans="6:7" ht="12.75" customHeight="1" x14ac:dyDescent="0.2">
      <c r="F495" s="25"/>
      <c r="G495" s="25"/>
    </row>
    <row r="496" spans="6:7" ht="12.75" customHeight="1" x14ac:dyDescent="0.2">
      <c r="F496" s="25"/>
      <c r="G496" s="25"/>
    </row>
    <row r="497" spans="6:7" ht="12.75" customHeight="1" x14ac:dyDescent="0.2">
      <c r="F497" s="25"/>
      <c r="G497" s="25"/>
    </row>
    <row r="498" spans="6:7" ht="12.75" customHeight="1" x14ac:dyDescent="0.2">
      <c r="F498" s="25"/>
      <c r="G498" s="25"/>
    </row>
    <row r="499" spans="6:7" ht="12.75" customHeight="1" x14ac:dyDescent="0.2">
      <c r="F499" s="25"/>
      <c r="G499" s="25"/>
    </row>
    <row r="500" spans="6:7" ht="12.75" customHeight="1" x14ac:dyDescent="0.2">
      <c r="F500" s="25"/>
      <c r="G500" s="25"/>
    </row>
    <row r="501" spans="6:7" ht="12.75" customHeight="1" x14ac:dyDescent="0.2">
      <c r="F501" s="25"/>
      <c r="G501" s="25"/>
    </row>
    <row r="502" spans="6:7" ht="12.75" customHeight="1" x14ac:dyDescent="0.2">
      <c r="F502" s="25"/>
      <c r="G502" s="25"/>
    </row>
    <row r="503" spans="6:7" ht="12.75" customHeight="1" x14ac:dyDescent="0.2">
      <c r="F503" s="25"/>
      <c r="G503" s="25"/>
    </row>
    <row r="504" spans="6:7" ht="12.75" customHeight="1" x14ac:dyDescent="0.2">
      <c r="F504" s="25"/>
      <c r="G504" s="25"/>
    </row>
    <row r="505" spans="6:7" ht="12.75" customHeight="1" x14ac:dyDescent="0.2">
      <c r="F505" s="25"/>
      <c r="G505" s="25"/>
    </row>
    <row r="506" spans="6:7" ht="12.75" customHeight="1" x14ac:dyDescent="0.2">
      <c r="F506" s="25"/>
      <c r="G506" s="25"/>
    </row>
    <row r="507" spans="6:7" ht="12.75" customHeight="1" x14ac:dyDescent="0.2">
      <c r="F507" s="25"/>
      <c r="G507" s="25"/>
    </row>
    <row r="508" spans="6:7" ht="12.75" customHeight="1" x14ac:dyDescent="0.2">
      <c r="F508" s="25"/>
      <c r="G508" s="25"/>
    </row>
    <row r="509" spans="6:7" ht="12.75" customHeight="1" x14ac:dyDescent="0.2">
      <c r="F509" s="25"/>
      <c r="G509" s="25"/>
    </row>
    <row r="510" spans="6:7" ht="12.75" customHeight="1" x14ac:dyDescent="0.2">
      <c r="F510" s="25"/>
      <c r="G510" s="25"/>
    </row>
    <row r="511" spans="6:7" ht="12.75" customHeight="1" x14ac:dyDescent="0.2">
      <c r="F511" s="25"/>
      <c r="G511" s="25"/>
    </row>
    <row r="512" spans="6:7" ht="12.75" customHeight="1" x14ac:dyDescent="0.2">
      <c r="F512" s="25"/>
      <c r="G512" s="25"/>
    </row>
    <row r="513" spans="6:7" ht="12.75" customHeight="1" x14ac:dyDescent="0.2">
      <c r="F513" s="25"/>
      <c r="G513" s="25"/>
    </row>
    <row r="514" spans="6:7" ht="12.75" customHeight="1" x14ac:dyDescent="0.2">
      <c r="F514" s="25"/>
      <c r="G514" s="25"/>
    </row>
    <row r="515" spans="6:7" ht="12.75" customHeight="1" x14ac:dyDescent="0.2">
      <c r="F515" s="25"/>
      <c r="G515" s="25"/>
    </row>
    <row r="516" spans="6:7" ht="12.75" customHeight="1" x14ac:dyDescent="0.2">
      <c r="F516" s="25"/>
      <c r="G516" s="25"/>
    </row>
    <row r="517" spans="6:7" ht="12.75" customHeight="1" x14ac:dyDescent="0.2">
      <c r="F517" s="25"/>
      <c r="G517" s="25"/>
    </row>
    <row r="518" spans="6:7" ht="12.75" customHeight="1" x14ac:dyDescent="0.2">
      <c r="F518" s="25"/>
      <c r="G518" s="25"/>
    </row>
    <row r="519" spans="6:7" ht="12.75" customHeight="1" x14ac:dyDescent="0.2">
      <c r="F519" s="25"/>
      <c r="G519" s="25"/>
    </row>
    <row r="520" spans="6:7" ht="12.75" customHeight="1" x14ac:dyDescent="0.2">
      <c r="F520" s="25"/>
      <c r="G520" s="25"/>
    </row>
    <row r="521" spans="6:7" ht="12.75" customHeight="1" x14ac:dyDescent="0.2">
      <c r="F521" s="25"/>
      <c r="G521" s="25"/>
    </row>
    <row r="522" spans="6:7" ht="12.75" customHeight="1" x14ac:dyDescent="0.2">
      <c r="F522" s="25"/>
      <c r="G522" s="25"/>
    </row>
    <row r="523" spans="6:7" ht="12.75" customHeight="1" x14ac:dyDescent="0.2">
      <c r="F523" s="25"/>
      <c r="G523" s="25"/>
    </row>
    <row r="524" spans="6:7" ht="12.75" customHeight="1" x14ac:dyDescent="0.2">
      <c r="F524" s="25"/>
      <c r="G524" s="25"/>
    </row>
    <row r="525" spans="6:7" ht="12.75" customHeight="1" x14ac:dyDescent="0.2">
      <c r="F525" s="25"/>
      <c r="G525" s="25"/>
    </row>
    <row r="526" spans="6:7" ht="12.75" customHeight="1" x14ac:dyDescent="0.2">
      <c r="F526" s="25"/>
      <c r="G526" s="25"/>
    </row>
    <row r="527" spans="6:7" ht="12.75" customHeight="1" x14ac:dyDescent="0.2">
      <c r="F527" s="25"/>
      <c r="G527" s="25"/>
    </row>
    <row r="528" spans="6:7" ht="12.75" customHeight="1" x14ac:dyDescent="0.2">
      <c r="F528" s="25"/>
      <c r="G528" s="25"/>
    </row>
    <row r="529" spans="6:7" ht="12.75" customHeight="1" x14ac:dyDescent="0.2">
      <c r="F529" s="25"/>
      <c r="G529" s="25"/>
    </row>
    <row r="530" spans="6:7" ht="12.75" customHeight="1" x14ac:dyDescent="0.2">
      <c r="F530" s="25"/>
      <c r="G530" s="25"/>
    </row>
    <row r="531" spans="6:7" ht="12.75" customHeight="1" x14ac:dyDescent="0.2">
      <c r="F531" s="25"/>
      <c r="G531" s="25"/>
    </row>
    <row r="532" spans="6:7" ht="12.75" customHeight="1" x14ac:dyDescent="0.2">
      <c r="F532" s="25"/>
      <c r="G532" s="25"/>
    </row>
    <row r="533" spans="6:7" ht="12.75" customHeight="1" x14ac:dyDescent="0.2">
      <c r="F533" s="25"/>
      <c r="G533" s="25"/>
    </row>
    <row r="534" spans="6:7" ht="12.75" customHeight="1" x14ac:dyDescent="0.2">
      <c r="F534" s="25"/>
      <c r="G534" s="25"/>
    </row>
    <row r="535" spans="6:7" ht="12.75" customHeight="1" x14ac:dyDescent="0.2">
      <c r="F535" s="25"/>
      <c r="G535" s="25"/>
    </row>
    <row r="536" spans="6:7" ht="12.75" customHeight="1" x14ac:dyDescent="0.2">
      <c r="F536" s="25"/>
      <c r="G536" s="25"/>
    </row>
    <row r="537" spans="6:7" ht="12.75" customHeight="1" x14ac:dyDescent="0.2">
      <c r="F537" s="25"/>
      <c r="G537" s="25"/>
    </row>
    <row r="538" spans="6:7" ht="12.75" customHeight="1" x14ac:dyDescent="0.2">
      <c r="F538" s="25"/>
      <c r="G538" s="25"/>
    </row>
    <row r="539" spans="6:7" ht="12.75" customHeight="1" x14ac:dyDescent="0.2">
      <c r="F539" s="25"/>
      <c r="G539" s="25"/>
    </row>
    <row r="540" spans="6:7" ht="12.75" customHeight="1" x14ac:dyDescent="0.2">
      <c r="F540" s="25"/>
      <c r="G540" s="25"/>
    </row>
    <row r="541" spans="6:7" ht="12.75" customHeight="1" x14ac:dyDescent="0.2">
      <c r="F541" s="25"/>
      <c r="G541" s="25"/>
    </row>
    <row r="542" spans="6:7" ht="12.75" customHeight="1" x14ac:dyDescent="0.2">
      <c r="F542" s="25"/>
      <c r="G542" s="25"/>
    </row>
    <row r="543" spans="6:7" ht="12.75" customHeight="1" x14ac:dyDescent="0.2">
      <c r="F543" s="25"/>
      <c r="G543" s="25"/>
    </row>
    <row r="544" spans="6:7" ht="12.75" customHeight="1" x14ac:dyDescent="0.2">
      <c r="F544" s="25"/>
      <c r="G544" s="25"/>
    </row>
    <row r="545" spans="6:7" ht="12.75" customHeight="1" x14ac:dyDescent="0.2">
      <c r="F545" s="25"/>
      <c r="G545" s="25"/>
    </row>
    <row r="546" spans="6:7" ht="12.75" customHeight="1" x14ac:dyDescent="0.2">
      <c r="F546" s="25"/>
      <c r="G546" s="25"/>
    </row>
    <row r="547" spans="6:7" ht="12.75" customHeight="1" x14ac:dyDescent="0.2">
      <c r="F547" s="25"/>
      <c r="G547" s="25"/>
    </row>
    <row r="548" spans="6:7" ht="12.75" customHeight="1" x14ac:dyDescent="0.2">
      <c r="F548" s="25"/>
      <c r="G548" s="25"/>
    </row>
    <row r="549" spans="6:7" ht="12.75" customHeight="1" x14ac:dyDescent="0.2">
      <c r="F549" s="25"/>
      <c r="G549" s="25"/>
    </row>
    <row r="550" spans="6:7" ht="12.75" customHeight="1" x14ac:dyDescent="0.2">
      <c r="F550" s="25"/>
      <c r="G550" s="25"/>
    </row>
    <row r="551" spans="6:7" ht="12.75" customHeight="1" x14ac:dyDescent="0.2">
      <c r="F551" s="25"/>
      <c r="G551" s="25"/>
    </row>
    <row r="552" spans="6:7" ht="12.75" customHeight="1" x14ac:dyDescent="0.2">
      <c r="F552" s="25"/>
      <c r="G552" s="25"/>
    </row>
    <row r="553" spans="6:7" ht="12.75" customHeight="1" x14ac:dyDescent="0.2">
      <c r="F553" s="25"/>
      <c r="G553" s="25"/>
    </row>
    <row r="554" spans="6:7" ht="12.75" customHeight="1" x14ac:dyDescent="0.2">
      <c r="F554" s="25"/>
      <c r="G554" s="25"/>
    </row>
    <row r="555" spans="6:7" ht="12.75" customHeight="1" x14ac:dyDescent="0.2">
      <c r="F555" s="25"/>
      <c r="G555" s="25"/>
    </row>
    <row r="556" spans="6:7" ht="12.75" customHeight="1" x14ac:dyDescent="0.2">
      <c r="F556" s="25"/>
      <c r="G556" s="25"/>
    </row>
    <row r="557" spans="6:7" ht="12.75" customHeight="1" x14ac:dyDescent="0.2">
      <c r="F557" s="25"/>
      <c r="G557" s="25"/>
    </row>
    <row r="558" spans="6:7" ht="12.75" customHeight="1" x14ac:dyDescent="0.2">
      <c r="F558" s="25"/>
      <c r="G558" s="25"/>
    </row>
    <row r="559" spans="6:7" ht="12.75" customHeight="1" x14ac:dyDescent="0.2">
      <c r="F559" s="25"/>
      <c r="G559" s="25"/>
    </row>
    <row r="560" spans="6:7" ht="12.75" customHeight="1" x14ac:dyDescent="0.2">
      <c r="F560" s="25"/>
      <c r="G560" s="25"/>
    </row>
    <row r="561" spans="6:7" ht="12.75" customHeight="1" x14ac:dyDescent="0.2">
      <c r="F561" s="25"/>
      <c r="G561" s="25"/>
    </row>
    <row r="562" spans="6:7" ht="12.75" customHeight="1" x14ac:dyDescent="0.2">
      <c r="F562" s="25"/>
      <c r="G562" s="25"/>
    </row>
    <row r="563" spans="6:7" ht="12.75" customHeight="1" x14ac:dyDescent="0.2">
      <c r="F563" s="25"/>
      <c r="G563" s="25"/>
    </row>
    <row r="564" spans="6:7" ht="12.75" customHeight="1" x14ac:dyDescent="0.2">
      <c r="F564" s="25"/>
      <c r="G564" s="25"/>
    </row>
    <row r="565" spans="6:7" ht="12.75" customHeight="1" x14ac:dyDescent="0.2">
      <c r="F565" s="25"/>
      <c r="G565" s="25"/>
    </row>
    <row r="566" spans="6:7" ht="12.75" customHeight="1" x14ac:dyDescent="0.2">
      <c r="F566" s="25"/>
      <c r="G566" s="25"/>
    </row>
    <row r="567" spans="6:7" ht="12.75" customHeight="1" x14ac:dyDescent="0.2">
      <c r="F567" s="25"/>
      <c r="G567" s="25"/>
    </row>
    <row r="568" spans="6:7" ht="12.75" customHeight="1" x14ac:dyDescent="0.2">
      <c r="F568" s="25"/>
      <c r="G568" s="25"/>
    </row>
    <row r="569" spans="6:7" ht="12.75" customHeight="1" x14ac:dyDescent="0.2">
      <c r="F569" s="25"/>
      <c r="G569" s="25"/>
    </row>
    <row r="570" spans="6:7" ht="12.75" customHeight="1" x14ac:dyDescent="0.2">
      <c r="F570" s="25"/>
      <c r="G570" s="25"/>
    </row>
    <row r="571" spans="6:7" ht="12.75" customHeight="1" x14ac:dyDescent="0.2">
      <c r="F571" s="25"/>
      <c r="G571" s="25"/>
    </row>
    <row r="572" spans="6:7" ht="12.75" customHeight="1" x14ac:dyDescent="0.2">
      <c r="F572" s="25"/>
      <c r="G572" s="25"/>
    </row>
    <row r="573" spans="6:7" ht="12.75" customHeight="1" x14ac:dyDescent="0.2">
      <c r="F573" s="25"/>
      <c r="G573" s="25"/>
    </row>
    <row r="574" spans="6:7" ht="12.75" customHeight="1" x14ac:dyDescent="0.2">
      <c r="F574" s="25"/>
      <c r="G574" s="25"/>
    </row>
    <row r="575" spans="6:7" ht="12.75" customHeight="1" x14ac:dyDescent="0.2">
      <c r="F575" s="25"/>
      <c r="G575" s="25"/>
    </row>
    <row r="576" spans="6:7" ht="12.75" customHeight="1" x14ac:dyDescent="0.2">
      <c r="F576" s="25"/>
      <c r="G576" s="25"/>
    </row>
    <row r="577" spans="6:7" ht="12.75" customHeight="1" x14ac:dyDescent="0.2">
      <c r="F577" s="25"/>
      <c r="G577" s="25"/>
    </row>
    <row r="578" spans="6:7" ht="12.75" customHeight="1" x14ac:dyDescent="0.2">
      <c r="F578" s="25"/>
      <c r="G578" s="25"/>
    </row>
    <row r="579" spans="6:7" ht="12.75" customHeight="1" x14ac:dyDescent="0.2">
      <c r="F579" s="25"/>
      <c r="G579" s="25"/>
    </row>
    <row r="580" spans="6:7" ht="12.75" customHeight="1" x14ac:dyDescent="0.2">
      <c r="F580" s="25"/>
      <c r="G580" s="25"/>
    </row>
    <row r="581" spans="6:7" ht="12.75" customHeight="1" x14ac:dyDescent="0.2">
      <c r="F581" s="25"/>
      <c r="G581" s="25"/>
    </row>
    <row r="582" spans="6:7" ht="12.75" customHeight="1" x14ac:dyDescent="0.2">
      <c r="F582" s="25"/>
      <c r="G582" s="25"/>
    </row>
    <row r="583" spans="6:7" ht="12.75" customHeight="1" x14ac:dyDescent="0.2">
      <c r="F583" s="25"/>
      <c r="G583" s="25"/>
    </row>
    <row r="584" spans="6:7" ht="12.75" customHeight="1" x14ac:dyDescent="0.2">
      <c r="F584" s="25"/>
      <c r="G584" s="25"/>
    </row>
    <row r="585" spans="6:7" ht="12.75" customHeight="1" x14ac:dyDescent="0.2">
      <c r="F585" s="25"/>
      <c r="G585" s="25"/>
    </row>
    <row r="586" spans="6:7" ht="12.75" customHeight="1" x14ac:dyDescent="0.2">
      <c r="F586" s="25"/>
      <c r="G586" s="25"/>
    </row>
    <row r="587" spans="6:7" ht="12.75" customHeight="1" x14ac:dyDescent="0.2">
      <c r="F587" s="25"/>
      <c r="G587" s="25"/>
    </row>
    <row r="588" spans="6:7" ht="12.75" customHeight="1" x14ac:dyDescent="0.2">
      <c r="F588" s="25"/>
      <c r="G588" s="25"/>
    </row>
    <row r="589" spans="6:7" ht="12.75" customHeight="1" x14ac:dyDescent="0.2">
      <c r="F589" s="25"/>
      <c r="G589" s="25"/>
    </row>
    <row r="590" spans="6:7" ht="12.75" customHeight="1" x14ac:dyDescent="0.2">
      <c r="F590" s="25"/>
      <c r="G590" s="25"/>
    </row>
    <row r="591" spans="6:7" ht="12.75" customHeight="1" x14ac:dyDescent="0.2">
      <c r="F591" s="25"/>
      <c r="G591" s="25"/>
    </row>
    <row r="592" spans="6:7" ht="12.75" customHeight="1" x14ac:dyDescent="0.2">
      <c r="F592" s="25"/>
      <c r="G592" s="25"/>
    </row>
    <row r="593" spans="6:7" ht="12.75" customHeight="1" x14ac:dyDescent="0.2">
      <c r="F593" s="25"/>
      <c r="G593" s="25"/>
    </row>
    <row r="594" spans="6:7" ht="12.75" customHeight="1" x14ac:dyDescent="0.2">
      <c r="F594" s="25"/>
      <c r="G594" s="25"/>
    </row>
    <row r="595" spans="6:7" ht="12.75" customHeight="1" x14ac:dyDescent="0.2">
      <c r="F595" s="25"/>
      <c r="G595" s="25"/>
    </row>
    <row r="596" spans="6:7" ht="12.75" customHeight="1" x14ac:dyDescent="0.2">
      <c r="F596" s="25"/>
      <c r="G596" s="25"/>
    </row>
    <row r="597" spans="6:7" ht="12.75" customHeight="1" x14ac:dyDescent="0.2">
      <c r="F597" s="25"/>
      <c r="G597" s="25"/>
    </row>
    <row r="598" spans="6:7" ht="12.75" customHeight="1" x14ac:dyDescent="0.2">
      <c r="F598" s="25"/>
      <c r="G598" s="25"/>
    </row>
    <row r="599" spans="6:7" ht="12.75" customHeight="1" x14ac:dyDescent="0.2">
      <c r="F599" s="25"/>
      <c r="G599" s="25"/>
    </row>
    <row r="600" spans="6:7" ht="12.75" customHeight="1" x14ac:dyDescent="0.2">
      <c r="F600" s="25"/>
      <c r="G600" s="25"/>
    </row>
    <row r="601" spans="6:7" ht="12.75" customHeight="1" x14ac:dyDescent="0.2">
      <c r="F601" s="25"/>
      <c r="G601" s="25"/>
    </row>
    <row r="602" spans="6:7" ht="12.75" customHeight="1" x14ac:dyDescent="0.2">
      <c r="F602" s="25"/>
      <c r="G602" s="25"/>
    </row>
    <row r="603" spans="6:7" ht="12.75" customHeight="1" x14ac:dyDescent="0.2">
      <c r="F603" s="25"/>
      <c r="G603" s="25"/>
    </row>
    <row r="604" spans="6:7" ht="12.75" customHeight="1" x14ac:dyDescent="0.2">
      <c r="F604" s="25"/>
      <c r="G604" s="25"/>
    </row>
    <row r="605" spans="6:7" ht="12.75" customHeight="1" x14ac:dyDescent="0.2">
      <c r="F605" s="25"/>
      <c r="G605" s="25"/>
    </row>
    <row r="606" spans="6:7" ht="12.75" customHeight="1" x14ac:dyDescent="0.2">
      <c r="F606" s="25"/>
      <c r="G606" s="25"/>
    </row>
    <row r="607" spans="6:7" ht="12.75" customHeight="1" x14ac:dyDescent="0.2">
      <c r="F607" s="25"/>
      <c r="G607" s="25"/>
    </row>
    <row r="608" spans="6:7" ht="12.75" customHeight="1" x14ac:dyDescent="0.2">
      <c r="F608" s="25"/>
      <c r="G608" s="25"/>
    </row>
    <row r="609" spans="6:7" ht="12.75" customHeight="1" x14ac:dyDescent="0.2">
      <c r="F609" s="25"/>
      <c r="G609" s="25"/>
    </row>
    <row r="610" spans="6:7" ht="12.75" customHeight="1" x14ac:dyDescent="0.2">
      <c r="F610" s="25"/>
      <c r="G610" s="25"/>
    </row>
    <row r="611" spans="6:7" ht="12.75" customHeight="1" x14ac:dyDescent="0.2">
      <c r="F611" s="25"/>
      <c r="G611" s="25"/>
    </row>
    <row r="612" spans="6:7" ht="12.75" customHeight="1" x14ac:dyDescent="0.2">
      <c r="F612" s="25"/>
      <c r="G612" s="25"/>
    </row>
    <row r="613" spans="6:7" ht="12.75" customHeight="1" x14ac:dyDescent="0.2">
      <c r="F613" s="25"/>
      <c r="G613" s="25"/>
    </row>
    <row r="614" spans="6:7" ht="12.75" customHeight="1" x14ac:dyDescent="0.2">
      <c r="F614" s="25"/>
      <c r="G614" s="25"/>
    </row>
    <row r="615" spans="6:7" ht="12.75" customHeight="1" x14ac:dyDescent="0.2">
      <c r="F615" s="25"/>
      <c r="G615" s="25"/>
    </row>
    <row r="616" spans="6:7" ht="12.75" customHeight="1" x14ac:dyDescent="0.2">
      <c r="F616" s="25"/>
      <c r="G616" s="25"/>
    </row>
    <row r="617" spans="6:7" ht="12.75" customHeight="1" x14ac:dyDescent="0.2">
      <c r="F617" s="25"/>
      <c r="G617" s="25"/>
    </row>
    <row r="618" spans="6:7" ht="12.75" customHeight="1" x14ac:dyDescent="0.2">
      <c r="F618" s="25"/>
      <c r="G618" s="25"/>
    </row>
    <row r="619" spans="6:7" ht="12.75" customHeight="1" x14ac:dyDescent="0.2">
      <c r="F619" s="25"/>
      <c r="G619" s="25"/>
    </row>
    <row r="620" spans="6:7" ht="12.75" customHeight="1" x14ac:dyDescent="0.2">
      <c r="F620" s="25"/>
      <c r="G620" s="25"/>
    </row>
    <row r="621" spans="6:7" ht="12.75" customHeight="1" x14ac:dyDescent="0.2">
      <c r="F621" s="25"/>
      <c r="G621" s="25"/>
    </row>
    <row r="622" spans="6:7" ht="12.75" customHeight="1" x14ac:dyDescent="0.2">
      <c r="F622" s="25"/>
      <c r="G622" s="25"/>
    </row>
    <row r="623" spans="6:7" ht="12.75" customHeight="1" x14ac:dyDescent="0.2">
      <c r="F623" s="25"/>
      <c r="G623" s="25"/>
    </row>
    <row r="624" spans="6:7" ht="12.75" customHeight="1" x14ac:dyDescent="0.2">
      <c r="F624" s="25"/>
      <c r="G624" s="25"/>
    </row>
    <row r="625" spans="6:7" ht="12.75" customHeight="1" x14ac:dyDescent="0.2">
      <c r="F625" s="25"/>
      <c r="G625" s="25"/>
    </row>
    <row r="626" spans="6:7" ht="12.75" customHeight="1" x14ac:dyDescent="0.2">
      <c r="F626" s="25"/>
      <c r="G626" s="25"/>
    </row>
    <row r="627" spans="6:7" ht="12.75" customHeight="1" x14ac:dyDescent="0.2">
      <c r="F627" s="25"/>
      <c r="G627" s="25"/>
    </row>
    <row r="628" spans="6:7" ht="12.75" customHeight="1" x14ac:dyDescent="0.2">
      <c r="F628" s="25"/>
      <c r="G628" s="25"/>
    </row>
    <row r="629" spans="6:7" ht="12.75" customHeight="1" x14ac:dyDescent="0.2">
      <c r="F629" s="25"/>
      <c r="G629" s="25"/>
    </row>
    <row r="630" spans="6:7" ht="12.75" customHeight="1" x14ac:dyDescent="0.2">
      <c r="F630" s="25"/>
      <c r="G630" s="25"/>
    </row>
    <row r="631" spans="6:7" ht="12.75" customHeight="1" x14ac:dyDescent="0.2">
      <c r="F631" s="25"/>
      <c r="G631" s="25"/>
    </row>
    <row r="632" spans="6:7" ht="12.75" customHeight="1" x14ac:dyDescent="0.2">
      <c r="F632" s="25"/>
      <c r="G632" s="25"/>
    </row>
    <row r="633" spans="6:7" ht="12.75" customHeight="1" x14ac:dyDescent="0.2">
      <c r="F633" s="25"/>
      <c r="G633" s="25"/>
    </row>
    <row r="634" spans="6:7" ht="12.75" customHeight="1" x14ac:dyDescent="0.2">
      <c r="F634" s="25"/>
      <c r="G634" s="25"/>
    </row>
    <row r="635" spans="6:7" ht="12.75" customHeight="1" x14ac:dyDescent="0.2">
      <c r="F635" s="25"/>
      <c r="G635" s="25"/>
    </row>
    <row r="636" spans="6:7" ht="12.75" customHeight="1" x14ac:dyDescent="0.2">
      <c r="F636" s="25"/>
      <c r="G636" s="25"/>
    </row>
    <row r="637" spans="6:7" ht="12.75" customHeight="1" x14ac:dyDescent="0.2">
      <c r="F637" s="25"/>
      <c r="G637" s="25"/>
    </row>
    <row r="638" spans="6:7" ht="12.75" customHeight="1" x14ac:dyDescent="0.2">
      <c r="F638" s="25"/>
      <c r="G638" s="25"/>
    </row>
    <row r="639" spans="6:7" ht="12.75" customHeight="1" x14ac:dyDescent="0.2">
      <c r="F639" s="25"/>
      <c r="G639" s="25"/>
    </row>
    <row r="640" spans="6:7" ht="12.75" customHeight="1" x14ac:dyDescent="0.2">
      <c r="F640" s="25"/>
      <c r="G640" s="25"/>
    </row>
    <row r="641" spans="6:7" ht="12.75" customHeight="1" x14ac:dyDescent="0.2">
      <c r="F641" s="25"/>
      <c r="G641" s="25"/>
    </row>
    <row r="642" spans="6:7" ht="12.75" customHeight="1" x14ac:dyDescent="0.2">
      <c r="F642" s="25"/>
      <c r="G642" s="25"/>
    </row>
    <row r="643" spans="6:7" ht="12.75" customHeight="1" x14ac:dyDescent="0.2">
      <c r="F643" s="25"/>
      <c r="G643" s="25"/>
    </row>
    <row r="644" spans="6:7" ht="12.75" customHeight="1" x14ac:dyDescent="0.2">
      <c r="F644" s="25"/>
      <c r="G644" s="25"/>
    </row>
    <row r="645" spans="6:7" ht="12.75" customHeight="1" x14ac:dyDescent="0.2">
      <c r="F645" s="25"/>
      <c r="G645" s="25"/>
    </row>
    <row r="646" spans="6:7" ht="12.75" customHeight="1" x14ac:dyDescent="0.2">
      <c r="F646" s="25"/>
      <c r="G646" s="25"/>
    </row>
    <row r="647" spans="6:7" ht="12.75" customHeight="1" x14ac:dyDescent="0.2">
      <c r="F647" s="25"/>
      <c r="G647" s="25"/>
    </row>
    <row r="648" spans="6:7" ht="12.75" customHeight="1" x14ac:dyDescent="0.2">
      <c r="F648" s="25"/>
      <c r="G648" s="25"/>
    </row>
    <row r="649" spans="6:7" ht="12.75" customHeight="1" x14ac:dyDescent="0.2">
      <c r="F649" s="25"/>
      <c r="G649" s="25"/>
    </row>
    <row r="650" spans="6:7" ht="12.75" customHeight="1" x14ac:dyDescent="0.2">
      <c r="F650" s="25"/>
      <c r="G650" s="25"/>
    </row>
    <row r="651" spans="6:7" ht="12.75" customHeight="1" x14ac:dyDescent="0.2">
      <c r="F651" s="25"/>
      <c r="G651" s="25"/>
    </row>
    <row r="652" spans="6:7" ht="12.75" customHeight="1" x14ac:dyDescent="0.2">
      <c r="F652" s="25"/>
      <c r="G652" s="25"/>
    </row>
    <row r="653" spans="6:7" ht="12.75" customHeight="1" x14ac:dyDescent="0.2">
      <c r="F653" s="25"/>
      <c r="G653" s="25"/>
    </row>
    <row r="654" spans="6:7" ht="12.75" customHeight="1" x14ac:dyDescent="0.2">
      <c r="F654" s="25"/>
      <c r="G654" s="25"/>
    </row>
    <row r="655" spans="6:7" ht="12.75" customHeight="1" x14ac:dyDescent="0.2">
      <c r="F655" s="25"/>
      <c r="G655" s="25"/>
    </row>
    <row r="656" spans="6:7" ht="12.75" customHeight="1" x14ac:dyDescent="0.2">
      <c r="F656" s="25"/>
      <c r="G656" s="25"/>
    </row>
    <row r="657" spans="6:7" ht="12.75" customHeight="1" x14ac:dyDescent="0.2">
      <c r="F657" s="25"/>
      <c r="G657" s="25"/>
    </row>
    <row r="658" spans="6:7" ht="12.75" customHeight="1" x14ac:dyDescent="0.2">
      <c r="F658" s="25"/>
      <c r="G658" s="25"/>
    </row>
    <row r="659" spans="6:7" ht="12.75" customHeight="1" x14ac:dyDescent="0.2">
      <c r="F659" s="25"/>
      <c r="G659" s="25"/>
    </row>
    <row r="660" spans="6:7" ht="12.75" customHeight="1" x14ac:dyDescent="0.2">
      <c r="F660" s="25"/>
      <c r="G660" s="25"/>
    </row>
    <row r="661" spans="6:7" ht="12.75" customHeight="1" x14ac:dyDescent="0.2">
      <c r="F661" s="25"/>
      <c r="G661" s="25"/>
    </row>
    <row r="662" spans="6:7" ht="12.75" customHeight="1" x14ac:dyDescent="0.2">
      <c r="F662" s="25"/>
      <c r="G662" s="25"/>
    </row>
    <row r="663" spans="6:7" ht="12.75" customHeight="1" x14ac:dyDescent="0.2">
      <c r="F663" s="25"/>
      <c r="G663" s="25"/>
    </row>
    <row r="664" spans="6:7" ht="12.75" customHeight="1" x14ac:dyDescent="0.2">
      <c r="F664" s="25"/>
      <c r="G664" s="25"/>
    </row>
    <row r="665" spans="6:7" ht="12.75" customHeight="1" x14ac:dyDescent="0.2">
      <c r="F665" s="25"/>
      <c r="G665" s="25"/>
    </row>
    <row r="666" spans="6:7" ht="12.75" customHeight="1" x14ac:dyDescent="0.2">
      <c r="F666" s="25"/>
      <c r="G666" s="25"/>
    </row>
    <row r="667" spans="6:7" ht="12.75" customHeight="1" x14ac:dyDescent="0.2">
      <c r="F667" s="25"/>
      <c r="G667" s="25"/>
    </row>
    <row r="668" spans="6:7" ht="12.75" customHeight="1" x14ac:dyDescent="0.2">
      <c r="F668" s="25"/>
      <c r="G668" s="25"/>
    </row>
    <row r="669" spans="6:7" ht="12.75" customHeight="1" x14ac:dyDescent="0.2">
      <c r="F669" s="25"/>
      <c r="G669" s="25"/>
    </row>
    <row r="670" spans="6:7" ht="12.75" customHeight="1" x14ac:dyDescent="0.2">
      <c r="F670" s="25"/>
      <c r="G670" s="25"/>
    </row>
    <row r="671" spans="6:7" ht="12.75" customHeight="1" x14ac:dyDescent="0.2">
      <c r="F671" s="25"/>
      <c r="G671" s="25"/>
    </row>
    <row r="672" spans="6:7" ht="12.75" customHeight="1" x14ac:dyDescent="0.2">
      <c r="F672" s="25"/>
      <c r="G672" s="25"/>
    </row>
    <row r="673" spans="6:7" ht="12.75" customHeight="1" x14ac:dyDescent="0.2">
      <c r="F673" s="25"/>
      <c r="G673" s="25"/>
    </row>
    <row r="674" spans="6:7" ht="12.75" customHeight="1" x14ac:dyDescent="0.2">
      <c r="F674" s="25"/>
      <c r="G674" s="25"/>
    </row>
    <row r="675" spans="6:7" ht="12.75" customHeight="1" x14ac:dyDescent="0.2">
      <c r="F675" s="25"/>
      <c r="G675" s="25"/>
    </row>
    <row r="676" spans="6:7" ht="12.75" customHeight="1" x14ac:dyDescent="0.2">
      <c r="F676" s="25"/>
      <c r="G676" s="25"/>
    </row>
    <row r="677" spans="6:7" ht="12.75" customHeight="1" x14ac:dyDescent="0.2">
      <c r="F677" s="25"/>
      <c r="G677" s="25"/>
    </row>
    <row r="678" spans="6:7" ht="12.75" customHeight="1" x14ac:dyDescent="0.2">
      <c r="F678" s="25"/>
      <c r="G678" s="25"/>
    </row>
    <row r="679" spans="6:7" ht="12.75" customHeight="1" x14ac:dyDescent="0.2">
      <c r="F679" s="25"/>
      <c r="G679" s="25"/>
    </row>
    <row r="680" spans="6:7" ht="12.75" customHeight="1" x14ac:dyDescent="0.2">
      <c r="F680" s="25"/>
      <c r="G680" s="25"/>
    </row>
    <row r="681" spans="6:7" ht="12.75" customHeight="1" x14ac:dyDescent="0.2">
      <c r="F681" s="25"/>
      <c r="G681" s="25"/>
    </row>
    <row r="682" spans="6:7" ht="12.75" customHeight="1" x14ac:dyDescent="0.2">
      <c r="F682" s="25"/>
      <c r="G682" s="25"/>
    </row>
    <row r="683" spans="6:7" ht="12.75" customHeight="1" x14ac:dyDescent="0.2">
      <c r="F683" s="25"/>
      <c r="G683" s="25"/>
    </row>
    <row r="684" spans="6:7" ht="12.75" customHeight="1" x14ac:dyDescent="0.2">
      <c r="F684" s="25"/>
      <c r="G684" s="25"/>
    </row>
    <row r="685" spans="6:7" ht="12.75" customHeight="1" x14ac:dyDescent="0.2">
      <c r="F685" s="25"/>
      <c r="G685" s="25"/>
    </row>
    <row r="686" spans="6:7" ht="12.75" customHeight="1" x14ac:dyDescent="0.2">
      <c r="F686" s="25"/>
      <c r="G686" s="25"/>
    </row>
    <row r="687" spans="6:7" ht="12.75" customHeight="1" x14ac:dyDescent="0.2">
      <c r="F687" s="25"/>
      <c r="G687" s="25"/>
    </row>
    <row r="688" spans="6:7" ht="12.75" customHeight="1" x14ac:dyDescent="0.2">
      <c r="F688" s="25"/>
      <c r="G688" s="25"/>
    </row>
    <row r="689" spans="6:7" ht="12.75" customHeight="1" x14ac:dyDescent="0.2">
      <c r="F689" s="25"/>
      <c r="G689" s="25"/>
    </row>
    <row r="690" spans="6:7" ht="12.75" customHeight="1" x14ac:dyDescent="0.2">
      <c r="F690" s="25"/>
      <c r="G690" s="25"/>
    </row>
    <row r="691" spans="6:7" ht="12.75" customHeight="1" x14ac:dyDescent="0.2">
      <c r="F691" s="25"/>
      <c r="G691" s="25"/>
    </row>
    <row r="692" spans="6:7" ht="12.75" customHeight="1" x14ac:dyDescent="0.2">
      <c r="F692" s="25"/>
      <c r="G692" s="25"/>
    </row>
    <row r="693" spans="6:7" ht="12.75" customHeight="1" x14ac:dyDescent="0.2">
      <c r="F693" s="25"/>
      <c r="G693" s="25"/>
    </row>
    <row r="694" spans="6:7" ht="12.75" customHeight="1" x14ac:dyDescent="0.2">
      <c r="F694" s="25"/>
      <c r="G694" s="25"/>
    </row>
    <row r="695" spans="6:7" ht="12.75" customHeight="1" x14ac:dyDescent="0.2">
      <c r="F695" s="25"/>
      <c r="G695" s="25"/>
    </row>
    <row r="696" spans="6:7" ht="12.75" customHeight="1" x14ac:dyDescent="0.2">
      <c r="F696" s="25"/>
      <c r="G696" s="25"/>
    </row>
    <row r="697" spans="6:7" ht="12.75" customHeight="1" x14ac:dyDescent="0.2">
      <c r="F697" s="25"/>
      <c r="G697" s="25"/>
    </row>
    <row r="698" spans="6:7" ht="12.75" customHeight="1" x14ac:dyDescent="0.2">
      <c r="F698" s="25"/>
      <c r="G698" s="25"/>
    </row>
    <row r="699" spans="6:7" ht="12.75" customHeight="1" x14ac:dyDescent="0.2">
      <c r="F699" s="25"/>
      <c r="G699" s="25"/>
    </row>
    <row r="700" spans="6:7" ht="12.75" customHeight="1" x14ac:dyDescent="0.2">
      <c r="F700" s="25"/>
      <c r="G700" s="25"/>
    </row>
    <row r="701" spans="6:7" ht="12.75" customHeight="1" x14ac:dyDescent="0.2">
      <c r="F701" s="25"/>
      <c r="G701" s="25"/>
    </row>
    <row r="702" spans="6:7" ht="12.75" customHeight="1" x14ac:dyDescent="0.2">
      <c r="F702" s="25"/>
      <c r="G702" s="25"/>
    </row>
    <row r="703" spans="6:7" ht="12.75" customHeight="1" x14ac:dyDescent="0.2">
      <c r="F703" s="25"/>
      <c r="G703" s="25"/>
    </row>
    <row r="704" spans="6:7" ht="12.75" customHeight="1" x14ac:dyDescent="0.2">
      <c r="F704" s="25"/>
      <c r="G704" s="25"/>
    </row>
    <row r="705" spans="6:7" ht="12.75" customHeight="1" x14ac:dyDescent="0.2">
      <c r="F705" s="25"/>
      <c r="G705" s="25"/>
    </row>
    <row r="706" spans="6:7" ht="12.75" customHeight="1" x14ac:dyDescent="0.2">
      <c r="F706" s="25"/>
      <c r="G706" s="25"/>
    </row>
    <row r="707" spans="6:7" ht="12.75" customHeight="1" x14ac:dyDescent="0.2">
      <c r="F707" s="25"/>
      <c r="G707" s="25"/>
    </row>
    <row r="708" spans="6:7" ht="12.75" customHeight="1" x14ac:dyDescent="0.2">
      <c r="F708" s="25"/>
      <c r="G708" s="25"/>
    </row>
    <row r="709" spans="6:7" ht="12.75" customHeight="1" x14ac:dyDescent="0.2">
      <c r="F709" s="25"/>
      <c r="G709" s="25"/>
    </row>
    <row r="710" spans="6:7" ht="12.75" customHeight="1" x14ac:dyDescent="0.2">
      <c r="F710" s="25"/>
      <c r="G710" s="25"/>
    </row>
    <row r="711" spans="6:7" ht="12.75" customHeight="1" x14ac:dyDescent="0.2">
      <c r="F711" s="25"/>
      <c r="G711" s="25"/>
    </row>
    <row r="712" spans="6:7" ht="12.75" customHeight="1" x14ac:dyDescent="0.2">
      <c r="F712" s="25"/>
      <c r="G712" s="25"/>
    </row>
    <row r="713" spans="6:7" ht="12.75" customHeight="1" x14ac:dyDescent="0.2">
      <c r="F713" s="25"/>
      <c r="G713" s="25"/>
    </row>
    <row r="714" spans="6:7" ht="12.75" customHeight="1" x14ac:dyDescent="0.2">
      <c r="F714" s="25"/>
      <c r="G714" s="25"/>
    </row>
    <row r="715" spans="6:7" ht="12.75" customHeight="1" x14ac:dyDescent="0.2">
      <c r="F715" s="25"/>
      <c r="G715" s="25"/>
    </row>
    <row r="716" spans="6:7" ht="12.75" customHeight="1" x14ac:dyDescent="0.2">
      <c r="F716" s="25"/>
      <c r="G716" s="25"/>
    </row>
    <row r="717" spans="6:7" ht="12.75" customHeight="1" x14ac:dyDescent="0.2">
      <c r="F717" s="25"/>
      <c r="G717" s="25"/>
    </row>
    <row r="718" spans="6:7" ht="12.75" customHeight="1" x14ac:dyDescent="0.2">
      <c r="F718" s="25"/>
      <c r="G718" s="25"/>
    </row>
    <row r="719" spans="6:7" ht="12.75" customHeight="1" x14ac:dyDescent="0.2">
      <c r="F719" s="25"/>
      <c r="G719" s="25"/>
    </row>
    <row r="720" spans="6:7" ht="12.75" customHeight="1" x14ac:dyDescent="0.2">
      <c r="F720" s="25"/>
      <c r="G720" s="25"/>
    </row>
    <row r="721" spans="6:7" ht="12.75" customHeight="1" x14ac:dyDescent="0.2">
      <c r="F721" s="25"/>
      <c r="G721" s="25"/>
    </row>
    <row r="722" spans="6:7" ht="12.75" customHeight="1" x14ac:dyDescent="0.2">
      <c r="F722" s="25"/>
      <c r="G722" s="25"/>
    </row>
    <row r="723" spans="6:7" ht="12.75" customHeight="1" x14ac:dyDescent="0.2">
      <c r="F723" s="25"/>
      <c r="G723" s="25"/>
    </row>
    <row r="724" spans="6:7" ht="12.75" customHeight="1" x14ac:dyDescent="0.2">
      <c r="F724" s="25"/>
      <c r="G724" s="25"/>
    </row>
    <row r="725" spans="6:7" ht="12.75" customHeight="1" x14ac:dyDescent="0.2">
      <c r="F725" s="25"/>
      <c r="G725" s="25"/>
    </row>
    <row r="726" spans="6:7" ht="12.75" customHeight="1" x14ac:dyDescent="0.2">
      <c r="F726" s="25"/>
      <c r="G726" s="25"/>
    </row>
    <row r="727" spans="6:7" ht="12.75" customHeight="1" x14ac:dyDescent="0.2">
      <c r="F727" s="25"/>
      <c r="G727" s="25"/>
    </row>
    <row r="728" spans="6:7" ht="12.75" customHeight="1" x14ac:dyDescent="0.2">
      <c r="F728" s="25"/>
      <c r="G728" s="25"/>
    </row>
    <row r="729" spans="6:7" ht="12.75" customHeight="1" x14ac:dyDescent="0.2">
      <c r="F729" s="25"/>
      <c r="G729" s="25"/>
    </row>
    <row r="730" spans="6:7" ht="12.75" customHeight="1" x14ac:dyDescent="0.2">
      <c r="F730" s="25"/>
      <c r="G730" s="25"/>
    </row>
    <row r="731" spans="6:7" ht="12.75" customHeight="1" x14ac:dyDescent="0.2">
      <c r="F731" s="25"/>
      <c r="G731" s="25"/>
    </row>
    <row r="732" spans="6:7" ht="12.75" customHeight="1" x14ac:dyDescent="0.2">
      <c r="F732" s="25"/>
      <c r="G732" s="25"/>
    </row>
    <row r="733" spans="6:7" ht="12.75" customHeight="1" x14ac:dyDescent="0.2">
      <c r="F733" s="25"/>
      <c r="G733" s="25"/>
    </row>
    <row r="734" spans="6:7" ht="12.75" customHeight="1" x14ac:dyDescent="0.2">
      <c r="F734" s="25"/>
      <c r="G734" s="25"/>
    </row>
    <row r="735" spans="6:7" ht="12.75" customHeight="1" x14ac:dyDescent="0.2">
      <c r="F735" s="25"/>
      <c r="G735" s="25"/>
    </row>
    <row r="736" spans="6:7" ht="12.75" customHeight="1" x14ac:dyDescent="0.2">
      <c r="F736" s="25"/>
      <c r="G736" s="25"/>
    </row>
    <row r="737" spans="6:7" ht="12.75" customHeight="1" x14ac:dyDescent="0.2">
      <c r="F737" s="25"/>
      <c r="G737" s="25"/>
    </row>
    <row r="738" spans="6:7" ht="12.75" customHeight="1" x14ac:dyDescent="0.2">
      <c r="F738" s="25"/>
      <c r="G738" s="25"/>
    </row>
    <row r="739" spans="6:7" ht="12.75" customHeight="1" x14ac:dyDescent="0.2">
      <c r="F739" s="25"/>
      <c r="G739" s="25"/>
    </row>
    <row r="740" spans="6:7" ht="12.75" customHeight="1" x14ac:dyDescent="0.2">
      <c r="F740" s="25"/>
      <c r="G740" s="25"/>
    </row>
    <row r="741" spans="6:7" ht="12.75" customHeight="1" x14ac:dyDescent="0.2">
      <c r="F741" s="25"/>
      <c r="G741" s="25"/>
    </row>
    <row r="742" spans="6:7" ht="12.75" customHeight="1" x14ac:dyDescent="0.2">
      <c r="F742" s="25"/>
      <c r="G742" s="25"/>
    </row>
    <row r="743" spans="6:7" ht="12.75" customHeight="1" x14ac:dyDescent="0.2">
      <c r="F743" s="25"/>
      <c r="G743" s="25"/>
    </row>
    <row r="744" spans="6:7" ht="12.75" customHeight="1" x14ac:dyDescent="0.2">
      <c r="F744" s="25"/>
      <c r="G744" s="25"/>
    </row>
    <row r="745" spans="6:7" ht="12.75" customHeight="1" x14ac:dyDescent="0.2">
      <c r="F745" s="25"/>
      <c r="G745" s="25"/>
    </row>
    <row r="746" spans="6:7" ht="12.75" customHeight="1" x14ac:dyDescent="0.2">
      <c r="F746" s="25"/>
      <c r="G746" s="25"/>
    </row>
    <row r="747" spans="6:7" ht="12.75" customHeight="1" x14ac:dyDescent="0.2">
      <c r="F747" s="25"/>
      <c r="G747" s="25"/>
    </row>
    <row r="748" spans="6:7" ht="12.75" customHeight="1" x14ac:dyDescent="0.2">
      <c r="F748" s="25"/>
      <c r="G748" s="25"/>
    </row>
    <row r="749" spans="6:7" ht="12.75" customHeight="1" x14ac:dyDescent="0.2">
      <c r="F749" s="25"/>
      <c r="G749" s="25"/>
    </row>
    <row r="750" spans="6:7" ht="12.75" customHeight="1" x14ac:dyDescent="0.2">
      <c r="F750" s="25"/>
      <c r="G750" s="25"/>
    </row>
    <row r="751" spans="6:7" ht="12.75" customHeight="1" x14ac:dyDescent="0.2">
      <c r="F751" s="25"/>
      <c r="G751" s="25"/>
    </row>
    <row r="752" spans="6:7" ht="12.75" customHeight="1" x14ac:dyDescent="0.2">
      <c r="F752" s="25"/>
      <c r="G752" s="25"/>
    </row>
    <row r="753" spans="6:7" ht="12.75" customHeight="1" x14ac:dyDescent="0.2">
      <c r="F753" s="25"/>
      <c r="G753" s="25"/>
    </row>
    <row r="754" spans="6:7" ht="12.75" customHeight="1" x14ac:dyDescent="0.2">
      <c r="F754" s="25"/>
      <c r="G754" s="25"/>
    </row>
    <row r="755" spans="6:7" ht="12.75" customHeight="1" x14ac:dyDescent="0.2">
      <c r="F755" s="25"/>
      <c r="G755" s="25"/>
    </row>
    <row r="756" spans="6:7" ht="12.75" customHeight="1" x14ac:dyDescent="0.2">
      <c r="F756" s="25"/>
      <c r="G756" s="25"/>
    </row>
    <row r="757" spans="6:7" ht="12.75" customHeight="1" x14ac:dyDescent="0.2">
      <c r="F757" s="25"/>
      <c r="G757" s="25"/>
    </row>
    <row r="758" spans="6:7" ht="12.75" customHeight="1" x14ac:dyDescent="0.2">
      <c r="F758" s="25"/>
      <c r="G758" s="25"/>
    </row>
    <row r="759" spans="6:7" ht="12.75" customHeight="1" x14ac:dyDescent="0.2">
      <c r="F759" s="25"/>
      <c r="G759" s="25"/>
    </row>
    <row r="760" spans="6:7" ht="12.75" customHeight="1" x14ac:dyDescent="0.2">
      <c r="F760" s="25"/>
      <c r="G760" s="25"/>
    </row>
    <row r="761" spans="6:7" ht="12.75" customHeight="1" x14ac:dyDescent="0.2">
      <c r="F761" s="25"/>
      <c r="G761" s="25"/>
    </row>
    <row r="762" spans="6:7" ht="12.75" customHeight="1" x14ac:dyDescent="0.2">
      <c r="F762" s="25"/>
      <c r="G762" s="25"/>
    </row>
    <row r="763" spans="6:7" ht="12.75" customHeight="1" x14ac:dyDescent="0.2">
      <c r="F763" s="25"/>
      <c r="G763" s="25"/>
    </row>
    <row r="764" spans="6:7" ht="12.75" customHeight="1" x14ac:dyDescent="0.2">
      <c r="F764" s="25"/>
      <c r="G764" s="25"/>
    </row>
    <row r="765" spans="6:7" ht="12.75" customHeight="1" x14ac:dyDescent="0.2">
      <c r="F765" s="25"/>
      <c r="G765" s="25"/>
    </row>
    <row r="766" spans="6:7" ht="12.75" customHeight="1" x14ac:dyDescent="0.2">
      <c r="F766" s="25"/>
      <c r="G766" s="25"/>
    </row>
    <row r="767" spans="6:7" ht="12.75" customHeight="1" x14ac:dyDescent="0.2">
      <c r="F767" s="25"/>
      <c r="G767" s="25"/>
    </row>
    <row r="768" spans="6:7" ht="12.75" customHeight="1" x14ac:dyDescent="0.2">
      <c r="F768" s="25"/>
      <c r="G768" s="25"/>
    </row>
    <row r="769" spans="6:7" ht="12.75" customHeight="1" x14ac:dyDescent="0.2">
      <c r="F769" s="25"/>
      <c r="G769" s="25"/>
    </row>
    <row r="770" spans="6:7" ht="12.75" customHeight="1" x14ac:dyDescent="0.2">
      <c r="F770" s="25"/>
      <c r="G770" s="25"/>
    </row>
    <row r="771" spans="6:7" ht="12.75" customHeight="1" x14ac:dyDescent="0.2">
      <c r="F771" s="25"/>
      <c r="G771" s="25"/>
    </row>
    <row r="772" spans="6:7" ht="12.75" customHeight="1" x14ac:dyDescent="0.2">
      <c r="F772" s="25"/>
      <c r="G772" s="25"/>
    </row>
    <row r="773" spans="6:7" ht="12.75" customHeight="1" x14ac:dyDescent="0.2">
      <c r="F773" s="25"/>
      <c r="G773" s="25"/>
    </row>
    <row r="774" spans="6:7" ht="12.75" customHeight="1" x14ac:dyDescent="0.2">
      <c r="F774" s="25"/>
      <c r="G774" s="25"/>
    </row>
    <row r="775" spans="6:7" ht="12.75" customHeight="1" x14ac:dyDescent="0.2">
      <c r="F775" s="25"/>
      <c r="G775" s="25"/>
    </row>
    <row r="776" spans="6:7" ht="12.75" customHeight="1" x14ac:dyDescent="0.2">
      <c r="F776" s="25"/>
      <c r="G776" s="25"/>
    </row>
    <row r="777" spans="6:7" ht="12.75" customHeight="1" x14ac:dyDescent="0.2">
      <c r="F777" s="25"/>
      <c r="G777" s="25"/>
    </row>
    <row r="778" spans="6:7" ht="12.75" customHeight="1" x14ac:dyDescent="0.2">
      <c r="F778" s="25"/>
      <c r="G778" s="25"/>
    </row>
    <row r="779" spans="6:7" ht="12.75" customHeight="1" x14ac:dyDescent="0.2">
      <c r="F779" s="25"/>
      <c r="G779" s="25"/>
    </row>
    <row r="780" spans="6:7" ht="12.75" customHeight="1" x14ac:dyDescent="0.2">
      <c r="F780" s="25"/>
      <c r="G780" s="25"/>
    </row>
    <row r="781" spans="6:7" ht="12.75" customHeight="1" x14ac:dyDescent="0.2">
      <c r="F781" s="25"/>
      <c r="G781" s="25"/>
    </row>
    <row r="782" spans="6:7" ht="12.75" customHeight="1" x14ac:dyDescent="0.2">
      <c r="F782" s="25"/>
      <c r="G782" s="25"/>
    </row>
    <row r="783" spans="6:7" ht="12.75" customHeight="1" x14ac:dyDescent="0.2">
      <c r="F783" s="25"/>
      <c r="G783" s="25"/>
    </row>
    <row r="784" spans="6:7" ht="12.75" customHeight="1" x14ac:dyDescent="0.2">
      <c r="F784" s="25"/>
      <c r="G784" s="25"/>
    </row>
    <row r="785" spans="6:7" ht="12.75" customHeight="1" x14ac:dyDescent="0.2">
      <c r="F785" s="25"/>
      <c r="G785" s="25"/>
    </row>
    <row r="786" spans="6:7" ht="12.75" customHeight="1" x14ac:dyDescent="0.2">
      <c r="F786" s="25"/>
      <c r="G786" s="25"/>
    </row>
    <row r="787" spans="6:7" ht="12.75" customHeight="1" x14ac:dyDescent="0.2">
      <c r="F787" s="25"/>
      <c r="G787" s="25"/>
    </row>
    <row r="788" spans="6:7" ht="12.75" customHeight="1" x14ac:dyDescent="0.2">
      <c r="F788" s="25"/>
      <c r="G788" s="25"/>
    </row>
    <row r="789" spans="6:7" ht="12.75" customHeight="1" x14ac:dyDescent="0.2">
      <c r="F789" s="25"/>
      <c r="G789" s="25"/>
    </row>
    <row r="790" spans="6:7" ht="12.75" customHeight="1" x14ac:dyDescent="0.2">
      <c r="F790" s="25"/>
      <c r="G790" s="25"/>
    </row>
    <row r="791" spans="6:7" ht="12.75" customHeight="1" x14ac:dyDescent="0.2">
      <c r="F791" s="25"/>
      <c r="G791" s="25"/>
    </row>
    <row r="792" spans="6:7" ht="12.75" customHeight="1" x14ac:dyDescent="0.2">
      <c r="F792" s="25"/>
      <c r="G792" s="25"/>
    </row>
    <row r="793" spans="6:7" ht="12.75" customHeight="1" x14ac:dyDescent="0.2">
      <c r="F793" s="25"/>
      <c r="G793" s="25"/>
    </row>
    <row r="794" spans="6:7" ht="12.75" customHeight="1" x14ac:dyDescent="0.2">
      <c r="F794" s="25"/>
      <c r="G794" s="25"/>
    </row>
    <row r="795" spans="6:7" ht="12.75" customHeight="1" x14ac:dyDescent="0.2">
      <c r="F795" s="25"/>
      <c r="G795" s="25"/>
    </row>
    <row r="796" spans="6:7" ht="12.75" customHeight="1" x14ac:dyDescent="0.2">
      <c r="F796" s="25"/>
      <c r="G796" s="25"/>
    </row>
    <row r="797" spans="6:7" ht="12.75" customHeight="1" x14ac:dyDescent="0.2">
      <c r="F797" s="25"/>
      <c r="G797" s="25"/>
    </row>
    <row r="798" spans="6:7" ht="12.75" customHeight="1" x14ac:dyDescent="0.2">
      <c r="F798" s="25"/>
      <c r="G798" s="25"/>
    </row>
    <row r="799" spans="6:7" ht="12.75" customHeight="1" x14ac:dyDescent="0.2">
      <c r="F799" s="25"/>
      <c r="G799" s="25"/>
    </row>
    <row r="800" spans="6:7" ht="12.75" customHeight="1" x14ac:dyDescent="0.2">
      <c r="F800" s="25"/>
      <c r="G800" s="25"/>
    </row>
    <row r="801" spans="6:7" ht="12.75" customHeight="1" x14ac:dyDescent="0.2">
      <c r="F801" s="25"/>
      <c r="G801" s="25"/>
    </row>
    <row r="802" spans="6:7" ht="12.75" customHeight="1" x14ac:dyDescent="0.2">
      <c r="F802" s="25"/>
      <c r="G802" s="25"/>
    </row>
    <row r="803" spans="6:7" ht="12.75" customHeight="1" x14ac:dyDescent="0.2">
      <c r="F803" s="25"/>
      <c r="G803" s="25"/>
    </row>
    <row r="804" spans="6:7" ht="12.75" customHeight="1" x14ac:dyDescent="0.2">
      <c r="F804" s="25"/>
      <c r="G804" s="25"/>
    </row>
    <row r="805" spans="6:7" ht="12.75" customHeight="1" x14ac:dyDescent="0.2">
      <c r="F805" s="25"/>
      <c r="G805" s="25"/>
    </row>
    <row r="806" spans="6:7" ht="12.75" customHeight="1" x14ac:dyDescent="0.2">
      <c r="F806" s="25"/>
      <c r="G806" s="25"/>
    </row>
    <row r="807" spans="6:7" ht="12.75" customHeight="1" x14ac:dyDescent="0.2">
      <c r="F807" s="25"/>
      <c r="G807" s="25"/>
    </row>
    <row r="808" spans="6:7" ht="12.75" customHeight="1" x14ac:dyDescent="0.2">
      <c r="F808" s="25"/>
      <c r="G808" s="25"/>
    </row>
    <row r="809" spans="6:7" ht="12.75" customHeight="1" x14ac:dyDescent="0.2">
      <c r="F809" s="25"/>
      <c r="G809" s="25"/>
    </row>
    <row r="810" spans="6:7" ht="12.75" customHeight="1" x14ac:dyDescent="0.2">
      <c r="F810" s="25"/>
      <c r="G810" s="25"/>
    </row>
    <row r="811" spans="6:7" ht="12.75" customHeight="1" x14ac:dyDescent="0.2">
      <c r="F811" s="25"/>
      <c r="G811" s="25"/>
    </row>
    <row r="812" spans="6:7" ht="12.75" customHeight="1" x14ac:dyDescent="0.2">
      <c r="F812" s="25"/>
      <c r="G812" s="25"/>
    </row>
    <row r="813" spans="6:7" ht="12.75" customHeight="1" x14ac:dyDescent="0.2">
      <c r="F813" s="25"/>
      <c r="G813" s="25"/>
    </row>
    <row r="814" spans="6:7" ht="12.75" customHeight="1" x14ac:dyDescent="0.2">
      <c r="F814" s="25"/>
      <c r="G814" s="25"/>
    </row>
    <row r="815" spans="6:7" ht="12.75" customHeight="1" x14ac:dyDescent="0.2">
      <c r="F815" s="25"/>
      <c r="G815" s="25"/>
    </row>
    <row r="816" spans="6:7" ht="12.75" customHeight="1" x14ac:dyDescent="0.2">
      <c r="F816" s="25"/>
      <c r="G816" s="25"/>
    </row>
    <row r="817" spans="6:7" ht="12.75" customHeight="1" x14ac:dyDescent="0.2">
      <c r="F817" s="25"/>
      <c r="G817" s="25"/>
    </row>
    <row r="818" spans="6:7" ht="12.75" customHeight="1" x14ac:dyDescent="0.2">
      <c r="F818" s="25"/>
      <c r="G818" s="25"/>
    </row>
    <row r="819" spans="6:7" ht="12.75" customHeight="1" x14ac:dyDescent="0.2">
      <c r="F819" s="25"/>
      <c r="G819" s="25"/>
    </row>
    <row r="820" spans="6:7" ht="12.75" customHeight="1" x14ac:dyDescent="0.2">
      <c r="F820" s="25"/>
      <c r="G820" s="25"/>
    </row>
    <row r="821" spans="6:7" ht="12.75" customHeight="1" x14ac:dyDescent="0.2">
      <c r="F821" s="25"/>
      <c r="G821" s="25"/>
    </row>
    <row r="822" spans="6:7" ht="12.75" customHeight="1" x14ac:dyDescent="0.2">
      <c r="F822" s="25"/>
      <c r="G822" s="25"/>
    </row>
    <row r="823" spans="6:7" ht="12.75" customHeight="1" x14ac:dyDescent="0.2">
      <c r="F823" s="25"/>
      <c r="G823" s="25"/>
    </row>
    <row r="824" spans="6:7" ht="12.75" customHeight="1" x14ac:dyDescent="0.2">
      <c r="F824" s="25"/>
      <c r="G824" s="25"/>
    </row>
    <row r="825" spans="6:7" ht="12.75" customHeight="1" x14ac:dyDescent="0.2">
      <c r="F825" s="25"/>
      <c r="G825" s="25"/>
    </row>
    <row r="826" spans="6:7" ht="12.75" customHeight="1" x14ac:dyDescent="0.2">
      <c r="F826" s="25"/>
      <c r="G826" s="25"/>
    </row>
    <row r="827" spans="6:7" ht="12.75" customHeight="1" x14ac:dyDescent="0.2">
      <c r="F827" s="25"/>
      <c r="G827" s="25"/>
    </row>
    <row r="828" spans="6:7" ht="12.75" customHeight="1" x14ac:dyDescent="0.2">
      <c r="F828" s="25"/>
      <c r="G828" s="25"/>
    </row>
    <row r="829" spans="6:7" ht="12.75" customHeight="1" x14ac:dyDescent="0.2">
      <c r="F829" s="25"/>
      <c r="G829" s="25"/>
    </row>
    <row r="830" spans="6:7" ht="12.75" customHeight="1" x14ac:dyDescent="0.2">
      <c r="F830" s="25"/>
      <c r="G830" s="25"/>
    </row>
    <row r="831" spans="6:7" ht="12.75" customHeight="1" x14ac:dyDescent="0.2">
      <c r="F831" s="25"/>
      <c r="G831" s="25"/>
    </row>
    <row r="832" spans="6:7" ht="12.75" customHeight="1" x14ac:dyDescent="0.2">
      <c r="F832" s="25"/>
      <c r="G832" s="25"/>
    </row>
    <row r="833" spans="6:7" ht="12.75" customHeight="1" x14ac:dyDescent="0.2">
      <c r="F833" s="25"/>
      <c r="G833" s="25"/>
    </row>
    <row r="834" spans="6:7" ht="12.75" customHeight="1" x14ac:dyDescent="0.2">
      <c r="F834" s="25"/>
      <c r="G834" s="25"/>
    </row>
    <row r="835" spans="6:7" ht="12.75" customHeight="1" x14ac:dyDescent="0.2">
      <c r="F835" s="25"/>
      <c r="G835" s="25"/>
    </row>
    <row r="836" spans="6:7" ht="12.75" customHeight="1" x14ac:dyDescent="0.2">
      <c r="F836" s="25"/>
      <c r="G836" s="25"/>
    </row>
    <row r="837" spans="6:7" ht="12.75" customHeight="1" x14ac:dyDescent="0.2">
      <c r="F837" s="25"/>
      <c r="G837" s="25"/>
    </row>
    <row r="838" spans="6:7" ht="12.75" customHeight="1" x14ac:dyDescent="0.2">
      <c r="F838" s="25"/>
      <c r="G838" s="25"/>
    </row>
    <row r="839" spans="6:7" ht="12.75" customHeight="1" x14ac:dyDescent="0.2">
      <c r="F839" s="25"/>
      <c r="G839" s="25"/>
    </row>
    <row r="840" spans="6:7" ht="12.75" customHeight="1" x14ac:dyDescent="0.2">
      <c r="F840" s="25"/>
      <c r="G840" s="25"/>
    </row>
    <row r="841" spans="6:7" ht="12.75" customHeight="1" x14ac:dyDescent="0.2">
      <c r="F841" s="25"/>
      <c r="G841" s="25"/>
    </row>
    <row r="842" spans="6:7" ht="12.75" customHeight="1" x14ac:dyDescent="0.2">
      <c r="F842" s="25"/>
      <c r="G842" s="25"/>
    </row>
    <row r="843" spans="6:7" ht="12.75" customHeight="1" x14ac:dyDescent="0.2">
      <c r="F843" s="25"/>
      <c r="G843" s="25"/>
    </row>
    <row r="844" spans="6:7" ht="12.75" customHeight="1" x14ac:dyDescent="0.2">
      <c r="F844" s="25"/>
      <c r="G844" s="25"/>
    </row>
    <row r="845" spans="6:7" ht="12.75" customHeight="1" x14ac:dyDescent="0.2">
      <c r="F845" s="25"/>
      <c r="G845" s="25"/>
    </row>
    <row r="846" spans="6:7" ht="12.75" customHeight="1" x14ac:dyDescent="0.2">
      <c r="F846" s="25"/>
      <c r="G846" s="25"/>
    </row>
    <row r="847" spans="6:7" ht="12.75" customHeight="1" x14ac:dyDescent="0.2">
      <c r="F847" s="25"/>
      <c r="G847" s="25"/>
    </row>
    <row r="848" spans="6:7" ht="12.75" customHeight="1" x14ac:dyDescent="0.2">
      <c r="F848" s="25"/>
      <c r="G848" s="25"/>
    </row>
    <row r="849" spans="6:7" ht="12.75" customHeight="1" x14ac:dyDescent="0.2">
      <c r="F849" s="25"/>
      <c r="G849" s="25"/>
    </row>
    <row r="850" spans="6:7" ht="12.75" customHeight="1" x14ac:dyDescent="0.2">
      <c r="F850" s="25"/>
      <c r="G850" s="25"/>
    </row>
    <row r="851" spans="6:7" ht="12.75" customHeight="1" x14ac:dyDescent="0.2">
      <c r="F851" s="25"/>
      <c r="G851" s="25"/>
    </row>
    <row r="852" spans="6:7" ht="12.75" customHeight="1" x14ac:dyDescent="0.2">
      <c r="F852" s="25"/>
      <c r="G852" s="25"/>
    </row>
    <row r="853" spans="6:7" ht="12.75" customHeight="1" x14ac:dyDescent="0.2">
      <c r="F853" s="25"/>
      <c r="G853" s="25"/>
    </row>
    <row r="854" spans="6:7" ht="12.75" customHeight="1" x14ac:dyDescent="0.2">
      <c r="F854" s="25"/>
      <c r="G854" s="25"/>
    </row>
    <row r="855" spans="6:7" ht="12.75" customHeight="1" x14ac:dyDescent="0.2">
      <c r="F855" s="25"/>
      <c r="G855" s="25"/>
    </row>
    <row r="856" spans="6:7" ht="12.75" customHeight="1" x14ac:dyDescent="0.2">
      <c r="F856" s="25"/>
      <c r="G856" s="25"/>
    </row>
    <row r="857" spans="6:7" ht="12.75" customHeight="1" x14ac:dyDescent="0.2">
      <c r="F857" s="25"/>
      <c r="G857" s="25"/>
    </row>
    <row r="858" spans="6:7" ht="12.75" customHeight="1" x14ac:dyDescent="0.2">
      <c r="F858" s="25"/>
      <c r="G858" s="25"/>
    </row>
    <row r="859" spans="6:7" ht="12.75" customHeight="1" x14ac:dyDescent="0.2">
      <c r="F859" s="25"/>
      <c r="G859" s="25"/>
    </row>
    <row r="860" spans="6:7" ht="12.75" customHeight="1" x14ac:dyDescent="0.2">
      <c r="F860" s="25"/>
      <c r="G860" s="25"/>
    </row>
    <row r="861" spans="6:7" ht="12.75" customHeight="1" x14ac:dyDescent="0.2">
      <c r="F861" s="25"/>
      <c r="G861" s="25"/>
    </row>
    <row r="862" spans="6:7" ht="12.75" customHeight="1" x14ac:dyDescent="0.2">
      <c r="F862" s="25"/>
      <c r="G862" s="25"/>
    </row>
    <row r="863" spans="6:7" ht="12.75" customHeight="1" x14ac:dyDescent="0.2">
      <c r="F863" s="25"/>
      <c r="G863" s="25"/>
    </row>
    <row r="864" spans="6:7" ht="12.75" customHeight="1" x14ac:dyDescent="0.2">
      <c r="F864" s="25"/>
      <c r="G864" s="25"/>
    </row>
    <row r="865" spans="6:7" ht="12.75" customHeight="1" x14ac:dyDescent="0.2">
      <c r="F865" s="25"/>
      <c r="G865" s="25"/>
    </row>
    <row r="866" spans="6:7" ht="12.75" customHeight="1" x14ac:dyDescent="0.2">
      <c r="F866" s="25"/>
      <c r="G866" s="25"/>
    </row>
    <row r="867" spans="6:7" ht="12.75" customHeight="1" x14ac:dyDescent="0.2">
      <c r="F867" s="25"/>
      <c r="G867" s="25"/>
    </row>
    <row r="868" spans="6:7" ht="12.75" customHeight="1" x14ac:dyDescent="0.2">
      <c r="F868" s="25"/>
      <c r="G868" s="25"/>
    </row>
    <row r="869" spans="6:7" ht="12.75" customHeight="1" x14ac:dyDescent="0.2">
      <c r="F869" s="25"/>
      <c r="G869" s="25"/>
    </row>
    <row r="870" spans="6:7" ht="12.75" customHeight="1" x14ac:dyDescent="0.2">
      <c r="F870" s="25"/>
      <c r="G870" s="25"/>
    </row>
    <row r="871" spans="6:7" ht="12.75" customHeight="1" x14ac:dyDescent="0.2">
      <c r="F871" s="25"/>
      <c r="G871" s="25"/>
    </row>
    <row r="872" spans="6:7" ht="12.75" customHeight="1" x14ac:dyDescent="0.2">
      <c r="F872" s="25"/>
      <c r="G872" s="25"/>
    </row>
    <row r="873" spans="6:7" ht="12.75" customHeight="1" x14ac:dyDescent="0.2">
      <c r="F873" s="25"/>
      <c r="G873" s="25"/>
    </row>
    <row r="874" spans="6:7" ht="12.75" customHeight="1" x14ac:dyDescent="0.2">
      <c r="F874" s="25"/>
      <c r="G874" s="25"/>
    </row>
    <row r="875" spans="6:7" ht="12.75" customHeight="1" x14ac:dyDescent="0.2">
      <c r="F875" s="25"/>
      <c r="G875" s="25"/>
    </row>
    <row r="876" spans="6:7" ht="12.75" customHeight="1" x14ac:dyDescent="0.2">
      <c r="F876" s="25"/>
      <c r="G876" s="25"/>
    </row>
    <row r="877" spans="6:7" ht="12.75" customHeight="1" x14ac:dyDescent="0.2">
      <c r="F877" s="25"/>
      <c r="G877" s="25"/>
    </row>
    <row r="878" spans="6:7" ht="12.75" customHeight="1" x14ac:dyDescent="0.2">
      <c r="F878" s="25"/>
      <c r="G878" s="25"/>
    </row>
    <row r="879" spans="6:7" ht="12.75" customHeight="1" x14ac:dyDescent="0.2">
      <c r="F879" s="25"/>
      <c r="G879" s="25"/>
    </row>
    <row r="880" spans="6:7" ht="12.75" customHeight="1" x14ac:dyDescent="0.2">
      <c r="F880" s="25"/>
      <c r="G880" s="25"/>
    </row>
    <row r="881" spans="6:7" ht="12.75" customHeight="1" x14ac:dyDescent="0.2">
      <c r="F881" s="25"/>
      <c r="G881" s="25"/>
    </row>
    <row r="882" spans="6:7" ht="12.75" customHeight="1" x14ac:dyDescent="0.2">
      <c r="F882" s="25"/>
      <c r="G882" s="25"/>
    </row>
    <row r="883" spans="6:7" ht="12.75" customHeight="1" x14ac:dyDescent="0.2">
      <c r="F883" s="25"/>
      <c r="G883" s="25"/>
    </row>
    <row r="884" spans="6:7" ht="12.75" customHeight="1" x14ac:dyDescent="0.2">
      <c r="F884" s="25"/>
      <c r="G884" s="25"/>
    </row>
    <row r="885" spans="6:7" ht="12.75" customHeight="1" x14ac:dyDescent="0.2">
      <c r="F885" s="25"/>
      <c r="G885" s="25"/>
    </row>
    <row r="886" spans="6:7" ht="12.75" customHeight="1" x14ac:dyDescent="0.2">
      <c r="F886" s="25"/>
      <c r="G886" s="25"/>
    </row>
    <row r="887" spans="6:7" ht="12.75" customHeight="1" x14ac:dyDescent="0.2">
      <c r="F887" s="25"/>
      <c r="G887" s="25"/>
    </row>
    <row r="888" spans="6:7" ht="12.75" customHeight="1" x14ac:dyDescent="0.2">
      <c r="F888" s="25"/>
      <c r="G888" s="25"/>
    </row>
    <row r="889" spans="6:7" ht="12.75" customHeight="1" x14ac:dyDescent="0.2">
      <c r="F889" s="25"/>
      <c r="G889" s="25"/>
    </row>
    <row r="890" spans="6:7" ht="12.75" customHeight="1" x14ac:dyDescent="0.2">
      <c r="F890" s="25"/>
      <c r="G890" s="25"/>
    </row>
    <row r="891" spans="6:7" ht="12.75" customHeight="1" x14ac:dyDescent="0.2">
      <c r="F891" s="25"/>
      <c r="G891" s="25"/>
    </row>
    <row r="892" spans="6:7" ht="12.75" customHeight="1" x14ac:dyDescent="0.2">
      <c r="F892" s="25"/>
      <c r="G892" s="25"/>
    </row>
    <row r="893" spans="6:7" ht="12.75" customHeight="1" x14ac:dyDescent="0.2">
      <c r="F893" s="25"/>
      <c r="G893" s="25"/>
    </row>
    <row r="894" spans="6:7" ht="12.75" customHeight="1" x14ac:dyDescent="0.2">
      <c r="F894" s="25"/>
      <c r="G894" s="25"/>
    </row>
    <row r="895" spans="6:7" ht="12.75" customHeight="1" x14ac:dyDescent="0.2">
      <c r="F895" s="25"/>
      <c r="G895" s="25"/>
    </row>
    <row r="896" spans="6:7" ht="12.75" customHeight="1" x14ac:dyDescent="0.2">
      <c r="F896" s="25"/>
      <c r="G896" s="25"/>
    </row>
    <row r="897" spans="6:7" ht="12.75" customHeight="1" x14ac:dyDescent="0.2">
      <c r="F897" s="25"/>
      <c r="G897" s="25"/>
    </row>
    <row r="898" spans="6:7" ht="12.75" customHeight="1" x14ac:dyDescent="0.2">
      <c r="F898" s="25"/>
      <c r="G898" s="25"/>
    </row>
    <row r="899" spans="6:7" ht="12.75" customHeight="1" x14ac:dyDescent="0.2">
      <c r="F899" s="25"/>
      <c r="G899" s="25"/>
    </row>
    <row r="900" spans="6:7" ht="12.75" customHeight="1" x14ac:dyDescent="0.2">
      <c r="F900" s="25"/>
      <c r="G900" s="25"/>
    </row>
    <row r="901" spans="6:7" ht="12.75" customHeight="1" x14ac:dyDescent="0.2">
      <c r="F901" s="25"/>
      <c r="G901" s="25"/>
    </row>
    <row r="902" spans="6:7" ht="12.75" customHeight="1" x14ac:dyDescent="0.2">
      <c r="F902" s="25"/>
      <c r="G902" s="25"/>
    </row>
    <row r="903" spans="6:7" ht="12.75" customHeight="1" x14ac:dyDescent="0.2">
      <c r="F903" s="25"/>
      <c r="G903" s="25"/>
    </row>
    <row r="904" spans="6:7" ht="12.75" customHeight="1" x14ac:dyDescent="0.2">
      <c r="F904" s="25"/>
      <c r="G904" s="25"/>
    </row>
    <row r="905" spans="6:7" ht="12.75" customHeight="1" x14ac:dyDescent="0.2">
      <c r="F905" s="25"/>
      <c r="G905" s="25"/>
    </row>
    <row r="906" spans="6:7" ht="12.75" customHeight="1" x14ac:dyDescent="0.2">
      <c r="F906" s="25"/>
      <c r="G906" s="25"/>
    </row>
    <row r="907" spans="6:7" ht="12.75" customHeight="1" x14ac:dyDescent="0.2">
      <c r="F907" s="25"/>
      <c r="G907" s="25"/>
    </row>
    <row r="908" spans="6:7" ht="12.75" customHeight="1" x14ac:dyDescent="0.2">
      <c r="F908" s="25"/>
      <c r="G908" s="25"/>
    </row>
    <row r="909" spans="6:7" ht="12.75" customHeight="1" x14ac:dyDescent="0.2">
      <c r="F909" s="25"/>
      <c r="G909" s="25"/>
    </row>
    <row r="910" spans="6:7" ht="12.75" customHeight="1" x14ac:dyDescent="0.2">
      <c r="F910" s="25"/>
      <c r="G910" s="25"/>
    </row>
    <row r="911" spans="6:7" ht="12.75" customHeight="1" x14ac:dyDescent="0.2">
      <c r="F911" s="25"/>
      <c r="G911" s="25"/>
    </row>
    <row r="912" spans="6:7" ht="12.75" customHeight="1" x14ac:dyDescent="0.2">
      <c r="F912" s="25"/>
      <c r="G912" s="25"/>
    </row>
    <row r="913" spans="6:7" ht="12.75" customHeight="1" x14ac:dyDescent="0.2">
      <c r="F913" s="25"/>
      <c r="G913" s="25"/>
    </row>
    <row r="914" spans="6:7" ht="12.75" customHeight="1" x14ac:dyDescent="0.2">
      <c r="F914" s="25"/>
      <c r="G914" s="25"/>
    </row>
    <row r="915" spans="6:7" ht="12.75" customHeight="1" x14ac:dyDescent="0.2">
      <c r="F915" s="25"/>
      <c r="G915" s="25"/>
    </row>
    <row r="916" spans="6:7" ht="12.75" customHeight="1" x14ac:dyDescent="0.2">
      <c r="F916" s="25"/>
      <c r="G916" s="25"/>
    </row>
    <row r="917" spans="6:7" ht="12.75" customHeight="1" x14ac:dyDescent="0.2">
      <c r="F917" s="25"/>
      <c r="G917" s="25"/>
    </row>
    <row r="918" spans="6:7" ht="12.75" customHeight="1" x14ac:dyDescent="0.2">
      <c r="F918" s="25"/>
      <c r="G918" s="25"/>
    </row>
    <row r="919" spans="6:7" ht="12.75" customHeight="1" x14ac:dyDescent="0.2">
      <c r="F919" s="25"/>
      <c r="G919" s="25"/>
    </row>
    <row r="920" spans="6:7" ht="12.75" customHeight="1" x14ac:dyDescent="0.2">
      <c r="F920" s="25"/>
      <c r="G920" s="25"/>
    </row>
    <row r="921" spans="6:7" ht="12.75" customHeight="1" x14ac:dyDescent="0.2">
      <c r="F921" s="25"/>
      <c r="G921" s="25"/>
    </row>
    <row r="922" spans="6:7" ht="12.75" customHeight="1" x14ac:dyDescent="0.2">
      <c r="F922" s="25"/>
      <c r="G922" s="25"/>
    </row>
    <row r="923" spans="6:7" ht="12.75" customHeight="1" x14ac:dyDescent="0.2">
      <c r="F923" s="25"/>
      <c r="G923" s="25"/>
    </row>
    <row r="924" spans="6:7" ht="12.75" customHeight="1" x14ac:dyDescent="0.2">
      <c r="F924" s="25"/>
      <c r="G924" s="25"/>
    </row>
    <row r="925" spans="6:7" ht="12.75" customHeight="1" x14ac:dyDescent="0.2">
      <c r="F925" s="25"/>
      <c r="G925" s="25"/>
    </row>
    <row r="926" spans="6:7" ht="12.75" customHeight="1" x14ac:dyDescent="0.2">
      <c r="F926" s="25"/>
      <c r="G926" s="25"/>
    </row>
    <row r="927" spans="6:7" ht="12.75" customHeight="1" x14ac:dyDescent="0.2">
      <c r="F927" s="25"/>
      <c r="G927" s="25"/>
    </row>
    <row r="928" spans="6:7" ht="12.75" customHeight="1" x14ac:dyDescent="0.2">
      <c r="F928" s="25"/>
      <c r="G928" s="25"/>
    </row>
    <row r="929" spans="6:7" ht="12.75" customHeight="1" x14ac:dyDescent="0.2">
      <c r="F929" s="25"/>
      <c r="G929" s="25"/>
    </row>
    <row r="930" spans="6:7" ht="12.75" customHeight="1" x14ac:dyDescent="0.2">
      <c r="F930" s="25"/>
      <c r="G930" s="25"/>
    </row>
    <row r="931" spans="6:7" ht="12.75" customHeight="1" x14ac:dyDescent="0.2">
      <c r="F931" s="25"/>
      <c r="G931" s="25"/>
    </row>
    <row r="932" spans="6:7" ht="12.75" customHeight="1" x14ac:dyDescent="0.2">
      <c r="F932" s="25"/>
      <c r="G932" s="25"/>
    </row>
    <row r="933" spans="6:7" ht="12.75" customHeight="1" x14ac:dyDescent="0.2">
      <c r="F933" s="25"/>
      <c r="G933" s="25"/>
    </row>
    <row r="934" spans="6:7" ht="12.75" customHeight="1" x14ac:dyDescent="0.2">
      <c r="F934" s="25"/>
      <c r="G934" s="25"/>
    </row>
    <row r="935" spans="6:7" ht="12.75" customHeight="1" x14ac:dyDescent="0.2">
      <c r="F935" s="25"/>
      <c r="G935" s="25"/>
    </row>
    <row r="936" spans="6:7" ht="12.75" customHeight="1" x14ac:dyDescent="0.2">
      <c r="F936" s="25"/>
      <c r="G936" s="25"/>
    </row>
    <row r="937" spans="6:7" ht="12.75" customHeight="1" x14ac:dyDescent="0.2">
      <c r="F937" s="25"/>
      <c r="G937" s="25"/>
    </row>
    <row r="938" spans="6:7" ht="12.75" customHeight="1" x14ac:dyDescent="0.2">
      <c r="F938" s="25"/>
      <c r="G938" s="25"/>
    </row>
    <row r="939" spans="6:7" ht="12.75" customHeight="1" x14ac:dyDescent="0.2">
      <c r="F939" s="25"/>
      <c r="G939" s="25"/>
    </row>
    <row r="940" spans="6:7" ht="12.75" customHeight="1" x14ac:dyDescent="0.2">
      <c r="F940" s="25"/>
      <c r="G940" s="25"/>
    </row>
    <row r="941" spans="6:7" ht="12.75" customHeight="1" x14ac:dyDescent="0.2">
      <c r="F941" s="25"/>
      <c r="G941" s="25"/>
    </row>
    <row r="942" spans="6:7" ht="12.75" customHeight="1" x14ac:dyDescent="0.2">
      <c r="F942" s="25"/>
      <c r="G942" s="25"/>
    </row>
    <row r="943" spans="6:7" ht="12.75" customHeight="1" x14ac:dyDescent="0.2">
      <c r="F943" s="25"/>
      <c r="G943" s="25"/>
    </row>
    <row r="944" spans="6:7" ht="12.75" customHeight="1" x14ac:dyDescent="0.2">
      <c r="F944" s="25"/>
      <c r="G944" s="25"/>
    </row>
    <row r="945" spans="6:7" ht="12.75" customHeight="1" x14ac:dyDescent="0.2">
      <c r="F945" s="25"/>
      <c r="G945" s="25"/>
    </row>
    <row r="946" spans="6:7" ht="12.75" customHeight="1" x14ac:dyDescent="0.2">
      <c r="F946" s="25"/>
      <c r="G946" s="25"/>
    </row>
    <row r="947" spans="6:7" ht="12.75" customHeight="1" x14ac:dyDescent="0.2">
      <c r="F947" s="25"/>
      <c r="G947" s="25"/>
    </row>
    <row r="948" spans="6:7" ht="12.75" customHeight="1" x14ac:dyDescent="0.2">
      <c r="F948" s="25"/>
      <c r="G948" s="25"/>
    </row>
    <row r="949" spans="6:7" ht="12.75" customHeight="1" x14ac:dyDescent="0.2">
      <c r="F949" s="25"/>
      <c r="G949" s="25"/>
    </row>
    <row r="950" spans="6:7" ht="12.75" customHeight="1" x14ac:dyDescent="0.2">
      <c r="F950" s="25"/>
      <c r="G950" s="25"/>
    </row>
    <row r="951" spans="6:7" ht="12.75" customHeight="1" x14ac:dyDescent="0.2">
      <c r="F951" s="25"/>
      <c r="G951" s="25"/>
    </row>
    <row r="952" spans="6:7" ht="12.75" customHeight="1" x14ac:dyDescent="0.2">
      <c r="F952" s="25"/>
      <c r="G952" s="25"/>
    </row>
    <row r="953" spans="6:7" ht="12.75" customHeight="1" x14ac:dyDescent="0.2">
      <c r="F953" s="25"/>
      <c r="G953" s="25"/>
    </row>
    <row r="954" spans="6:7" ht="12.75" customHeight="1" x14ac:dyDescent="0.2">
      <c r="F954" s="25"/>
      <c r="G954" s="25"/>
    </row>
    <row r="955" spans="6:7" ht="12.75" customHeight="1" x14ac:dyDescent="0.2">
      <c r="F955" s="25"/>
      <c r="G955" s="25"/>
    </row>
    <row r="956" spans="6:7" ht="12.75" customHeight="1" x14ac:dyDescent="0.2">
      <c r="F956" s="25"/>
      <c r="G956" s="25"/>
    </row>
    <row r="957" spans="6:7" ht="12.75" customHeight="1" x14ac:dyDescent="0.2">
      <c r="F957" s="25"/>
      <c r="G957" s="25"/>
    </row>
    <row r="958" spans="6:7" ht="12.75" customHeight="1" x14ac:dyDescent="0.2">
      <c r="F958" s="25"/>
      <c r="G958" s="25"/>
    </row>
    <row r="959" spans="6:7" ht="12.75" customHeight="1" x14ac:dyDescent="0.2">
      <c r="F959" s="25"/>
      <c r="G959" s="25"/>
    </row>
    <row r="960" spans="6:7" ht="12.75" customHeight="1" x14ac:dyDescent="0.2">
      <c r="F960" s="25"/>
      <c r="G960" s="25"/>
    </row>
    <row r="961" spans="6:7" ht="12.75" customHeight="1" x14ac:dyDescent="0.2">
      <c r="F961" s="25"/>
      <c r="G961" s="25"/>
    </row>
    <row r="962" spans="6:7" ht="12.75" customHeight="1" x14ac:dyDescent="0.2">
      <c r="F962" s="25"/>
      <c r="G962" s="25"/>
    </row>
    <row r="963" spans="6:7" ht="12.75" customHeight="1" x14ac:dyDescent="0.2">
      <c r="F963" s="25"/>
      <c r="G963" s="25"/>
    </row>
    <row r="964" spans="6:7" ht="12.75" customHeight="1" x14ac:dyDescent="0.2">
      <c r="F964" s="25"/>
      <c r="G964" s="25"/>
    </row>
    <row r="965" spans="6:7" ht="12.75" customHeight="1" x14ac:dyDescent="0.2">
      <c r="F965" s="25"/>
      <c r="G965" s="25"/>
    </row>
    <row r="966" spans="6:7" ht="12.75" customHeight="1" x14ac:dyDescent="0.2">
      <c r="F966" s="25"/>
      <c r="G966" s="25"/>
    </row>
    <row r="967" spans="6:7" ht="12.75" customHeight="1" x14ac:dyDescent="0.2">
      <c r="F967" s="25"/>
      <c r="G967" s="25"/>
    </row>
    <row r="968" spans="6:7" ht="12.75" customHeight="1" x14ac:dyDescent="0.2">
      <c r="F968" s="25"/>
      <c r="G968" s="25"/>
    </row>
    <row r="969" spans="6:7" ht="12.75" customHeight="1" x14ac:dyDescent="0.2">
      <c r="F969" s="25"/>
      <c r="G969" s="25"/>
    </row>
    <row r="970" spans="6:7" ht="12.75" customHeight="1" x14ac:dyDescent="0.2">
      <c r="F970" s="25"/>
      <c r="G970" s="25"/>
    </row>
    <row r="971" spans="6:7" ht="12.75" customHeight="1" x14ac:dyDescent="0.2">
      <c r="F971" s="25"/>
      <c r="G971" s="25"/>
    </row>
    <row r="972" spans="6:7" ht="12.75" customHeight="1" x14ac:dyDescent="0.2">
      <c r="F972" s="25"/>
      <c r="G972" s="25"/>
    </row>
    <row r="973" spans="6:7" ht="12.75" customHeight="1" x14ac:dyDescent="0.2">
      <c r="F973" s="25"/>
      <c r="G973" s="25"/>
    </row>
    <row r="974" spans="6:7" ht="12.75" customHeight="1" x14ac:dyDescent="0.2">
      <c r="F974" s="25"/>
      <c r="G974" s="25"/>
    </row>
    <row r="975" spans="6:7" ht="12.75" customHeight="1" x14ac:dyDescent="0.2">
      <c r="F975" s="25"/>
      <c r="G975" s="25"/>
    </row>
    <row r="976" spans="6:7" ht="12.75" customHeight="1" x14ac:dyDescent="0.2">
      <c r="F976" s="25"/>
      <c r="G976" s="25"/>
    </row>
    <row r="977" spans="6:7" ht="12.75" customHeight="1" x14ac:dyDescent="0.2">
      <c r="F977" s="25"/>
      <c r="G977" s="25"/>
    </row>
    <row r="978" spans="6:7" ht="12.75" customHeight="1" x14ac:dyDescent="0.2">
      <c r="F978" s="25"/>
      <c r="G978" s="25"/>
    </row>
    <row r="979" spans="6:7" ht="12.75" customHeight="1" x14ac:dyDescent="0.2">
      <c r="F979" s="25"/>
      <c r="G979" s="25"/>
    </row>
    <row r="980" spans="6:7" ht="12.75" customHeight="1" x14ac:dyDescent="0.2">
      <c r="F980" s="25"/>
      <c r="G980" s="25"/>
    </row>
    <row r="981" spans="6:7" ht="12.75" customHeight="1" x14ac:dyDescent="0.2">
      <c r="F981" s="25"/>
      <c r="G981" s="25"/>
    </row>
    <row r="982" spans="6:7" ht="12.75" customHeight="1" x14ac:dyDescent="0.2">
      <c r="F982" s="25"/>
      <c r="G982" s="25"/>
    </row>
    <row r="983" spans="6:7" ht="12.75" customHeight="1" x14ac:dyDescent="0.2">
      <c r="F983" s="25"/>
      <c r="G983" s="25"/>
    </row>
    <row r="984" spans="6:7" ht="12.75" customHeight="1" x14ac:dyDescent="0.2">
      <c r="F984" s="25"/>
      <c r="G984" s="25"/>
    </row>
    <row r="985" spans="6:7" ht="12.75" customHeight="1" x14ac:dyDescent="0.2">
      <c r="F985" s="25"/>
      <c r="G985" s="25"/>
    </row>
    <row r="986" spans="6:7" ht="12.75" customHeight="1" x14ac:dyDescent="0.2">
      <c r="F986" s="25"/>
      <c r="G986" s="25"/>
    </row>
    <row r="987" spans="6:7" ht="12.75" customHeight="1" x14ac:dyDescent="0.2">
      <c r="F987" s="25"/>
      <c r="G987" s="25"/>
    </row>
    <row r="988" spans="6:7" ht="12.75" customHeight="1" x14ac:dyDescent="0.2">
      <c r="F988" s="25"/>
      <c r="G988" s="25"/>
    </row>
    <row r="989" spans="6:7" ht="12.75" customHeight="1" x14ac:dyDescent="0.2">
      <c r="F989" s="25"/>
      <c r="G989" s="25"/>
    </row>
    <row r="990" spans="6:7" ht="12.75" customHeight="1" x14ac:dyDescent="0.2">
      <c r="F990" s="25"/>
      <c r="G990" s="25"/>
    </row>
    <row r="991" spans="6:7" ht="12.75" customHeight="1" x14ac:dyDescent="0.2">
      <c r="F991" s="25"/>
      <c r="G991" s="25"/>
    </row>
    <row r="992" spans="6:7" ht="12.75" customHeight="1" x14ac:dyDescent="0.2">
      <c r="F992" s="25"/>
      <c r="G992" s="25"/>
    </row>
    <row r="993" spans="6:7" ht="12.75" customHeight="1" x14ac:dyDescent="0.2">
      <c r="F993" s="25"/>
      <c r="G993" s="25"/>
    </row>
    <row r="994" spans="6:7" ht="12.75" customHeight="1" x14ac:dyDescent="0.2">
      <c r="F994" s="25"/>
      <c r="G994" s="25"/>
    </row>
    <row r="995" spans="6:7" ht="12.75" customHeight="1" x14ac:dyDescent="0.2">
      <c r="F995" s="25"/>
      <c r="G995" s="25"/>
    </row>
    <row r="996" spans="6:7" ht="12.75" customHeight="1" x14ac:dyDescent="0.2">
      <c r="F996" s="25"/>
      <c r="G996" s="25"/>
    </row>
    <row r="997" spans="6:7" ht="12.75" customHeight="1" x14ac:dyDescent="0.2">
      <c r="F997" s="25"/>
      <c r="G997" s="25"/>
    </row>
    <row r="998" spans="6:7" ht="12.75" customHeight="1" x14ac:dyDescent="0.2">
      <c r="F998" s="25"/>
      <c r="G998" s="25"/>
    </row>
    <row r="999" spans="6:7" ht="12.75" customHeight="1" x14ac:dyDescent="0.2">
      <c r="F999" s="25"/>
      <c r="G999" s="25"/>
    </row>
    <row r="1000" spans="6:7" ht="12.75" customHeight="1" x14ac:dyDescent="0.2">
      <c r="F1000" s="25"/>
      <c r="G1000" s="25"/>
    </row>
  </sheetData>
  <mergeCells count="4">
    <mergeCell ref="A1:I1"/>
    <mergeCell ref="A2:F2"/>
    <mergeCell ref="G2:H2"/>
    <mergeCell ref="A3:I3"/>
  </mergeCells>
  <pageMargins left="0.7" right="0.7" top="0.75" bottom="0.75" header="0" footer="0"/>
  <pageSetup orientation="landscape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000"/>
  <sheetViews>
    <sheetView workbookViewId="0"/>
  </sheetViews>
  <sheetFormatPr defaultColWidth="12.5703125" defaultRowHeight="15" customHeight="1" x14ac:dyDescent="0.2"/>
  <cols>
    <col min="1" max="1" width="17.28515625" customWidth="1"/>
    <col min="2" max="2" width="10.140625" customWidth="1"/>
    <col min="3" max="26" width="8" customWidth="1"/>
  </cols>
  <sheetData>
    <row r="1" spans="1:3" ht="12.75" customHeight="1" x14ac:dyDescent="0.2">
      <c r="A1" s="20" t="s">
        <v>301</v>
      </c>
      <c r="B1" s="24"/>
    </row>
    <row r="2" spans="1:3" ht="12.75" customHeight="1" x14ac:dyDescent="0.2">
      <c r="A2" s="20" t="s">
        <v>302</v>
      </c>
    </row>
    <row r="3" spans="1:3" ht="12.75" customHeight="1" x14ac:dyDescent="0.2">
      <c r="A3" s="20" t="s">
        <v>303</v>
      </c>
    </row>
    <row r="4" spans="1:3" ht="12.75" customHeight="1" x14ac:dyDescent="0.2"/>
    <row r="5" spans="1:3" ht="12.75" customHeight="1" x14ac:dyDescent="0.2">
      <c r="B5" s="20" t="s">
        <v>304</v>
      </c>
      <c r="C5" s="24" t="str">
        <f t="array" ref="C5">INDEX(NOME,10)</f>
        <v>Carolina</v>
      </c>
    </row>
    <row r="6" spans="1:3" ht="12.75" customHeight="1" x14ac:dyDescent="0.2">
      <c r="B6" s="20" t="s">
        <v>305</v>
      </c>
      <c r="C6" s="24" t="e">
        <f>MATCH(C5,DEPTO,0)</f>
        <v>#N/A</v>
      </c>
    </row>
    <row r="7" spans="1:3" ht="12.75" customHeight="1" x14ac:dyDescent="0.2">
      <c r="B7" s="20" t="s">
        <v>306</v>
      </c>
    </row>
    <row r="8" spans="1:3" ht="12.75" customHeight="1" x14ac:dyDescent="0.2">
      <c r="B8" s="20" t="s">
        <v>307</v>
      </c>
    </row>
    <row r="9" spans="1:3" ht="12.75" customHeight="1" x14ac:dyDescent="0.2"/>
    <row r="10" spans="1:3" ht="12.75" customHeight="1" x14ac:dyDescent="0.2"/>
    <row r="11" spans="1:3" ht="12.75" customHeight="1" x14ac:dyDescent="0.2"/>
    <row r="12" spans="1:3" ht="12.75" customHeight="1" x14ac:dyDescent="0.2"/>
    <row r="13" spans="1:3" ht="12.75" customHeight="1" x14ac:dyDescent="0.2"/>
    <row r="14" spans="1:3" ht="12.75" customHeight="1" x14ac:dyDescent="0.2"/>
    <row r="15" spans="1:3" ht="12.75" customHeight="1" x14ac:dyDescent="0.2"/>
    <row r="16" spans="1:3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dataValidations count="1">
    <dataValidation type="list" allowBlank="1" showInputMessage="1" showErrorMessage="1" prompt=" - " sqref="B1" xr:uid="{00000000-0002-0000-0900-000000000000}">
      <formula1>NOME</formula1>
    </dataValidation>
  </dataValidation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FF"/>
  </sheetPr>
  <dimension ref="A1:Z1000"/>
  <sheetViews>
    <sheetView showGridLines="0" workbookViewId="0">
      <selection sqref="A1:F2"/>
    </sheetView>
  </sheetViews>
  <sheetFormatPr defaultColWidth="12.5703125" defaultRowHeight="15" customHeight="1" x14ac:dyDescent="0.2"/>
  <cols>
    <col min="1" max="1" width="20.85546875" customWidth="1"/>
    <col min="2" max="5" width="11.85546875" customWidth="1"/>
    <col min="6" max="6" width="11.7109375" customWidth="1"/>
    <col min="7" max="26" width="8" customWidth="1"/>
  </cols>
  <sheetData>
    <row r="1" spans="1:26" ht="12.75" customHeight="1" x14ac:dyDescent="0.2">
      <c r="A1" s="112" t="s">
        <v>308</v>
      </c>
      <c r="B1" s="79"/>
      <c r="C1" s="79"/>
      <c r="D1" s="79"/>
      <c r="E1" s="79"/>
      <c r="F1" s="8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2.75" customHeight="1" x14ac:dyDescent="0.2">
      <c r="A2" s="81"/>
      <c r="B2" s="82"/>
      <c r="C2" s="82"/>
      <c r="D2" s="82"/>
      <c r="E2" s="82"/>
      <c r="F2" s="83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5" customHeight="1" x14ac:dyDescent="0.2">
      <c r="A3" s="113"/>
      <c r="B3" s="97"/>
      <c r="C3" s="97"/>
      <c r="D3" s="97"/>
      <c r="E3" s="97"/>
      <c r="F3" s="98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5.75" customHeight="1" x14ac:dyDescent="0.25">
      <c r="A4" s="114" t="s">
        <v>309</v>
      </c>
      <c r="B4" s="97"/>
      <c r="C4" s="97"/>
      <c r="D4" s="97"/>
      <c r="E4" s="97"/>
      <c r="F4" s="98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 x14ac:dyDescent="0.2">
      <c r="A5" s="110"/>
      <c r="B5" s="97"/>
      <c r="C5" s="97"/>
      <c r="D5" s="97"/>
      <c r="E5" s="97"/>
      <c r="F5" s="98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 x14ac:dyDescent="0.2">
      <c r="A6" s="53">
        <v>2020</v>
      </c>
      <c r="B6" s="53" t="s">
        <v>310</v>
      </c>
      <c r="C6" s="53" t="s">
        <v>311</v>
      </c>
      <c r="D6" s="53" t="s">
        <v>312</v>
      </c>
      <c r="E6" s="53" t="s">
        <v>313</v>
      </c>
      <c r="F6" s="53" t="s">
        <v>144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 x14ac:dyDescent="0.2">
      <c r="A7" s="19"/>
      <c r="B7" s="19"/>
      <c r="C7" s="19"/>
      <c r="D7" s="19"/>
      <c r="E7" s="19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 x14ac:dyDescent="0.2">
      <c r="A8" s="54" t="s">
        <v>314</v>
      </c>
      <c r="B8" s="55">
        <v>160000</v>
      </c>
      <c r="C8" s="55">
        <v>120000</v>
      </c>
      <c r="D8" s="55">
        <v>210000</v>
      </c>
      <c r="E8" s="55">
        <v>230000</v>
      </c>
      <c r="F8" s="55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 x14ac:dyDescent="0.2">
      <c r="A9" s="19"/>
      <c r="B9" s="56"/>
      <c r="C9" s="56"/>
      <c r="D9" s="56"/>
      <c r="E9" s="56"/>
      <c r="F9" s="56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 x14ac:dyDescent="0.2">
      <c r="A10" s="19" t="s">
        <v>315</v>
      </c>
      <c r="B10" s="56">
        <f t="shared" ref="B10:E10" si="0">B8*0.05</f>
        <v>8000</v>
      </c>
      <c r="C10" s="56">
        <f t="shared" si="0"/>
        <v>6000</v>
      </c>
      <c r="D10" s="56">
        <f t="shared" si="0"/>
        <v>10500</v>
      </c>
      <c r="E10" s="56">
        <f t="shared" si="0"/>
        <v>11500</v>
      </c>
      <c r="F10" s="56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 x14ac:dyDescent="0.2">
      <c r="A11" s="19" t="s">
        <v>316</v>
      </c>
      <c r="B11" s="56">
        <f t="shared" ref="B11:E11" si="1">B8*0.1065</f>
        <v>17040</v>
      </c>
      <c r="C11" s="56">
        <f t="shared" si="1"/>
        <v>12780</v>
      </c>
      <c r="D11" s="56">
        <f t="shared" si="1"/>
        <v>22365</v>
      </c>
      <c r="E11" s="56">
        <f t="shared" si="1"/>
        <v>24495</v>
      </c>
      <c r="F11" s="56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 x14ac:dyDescent="0.2">
      <c r="A12" s="110"/>
      <c r="B12" s="97"/>
      <c r="C12" s="97"/>
      <c r="D12" s="97"/>
      <c r="E12" s="97"/>
      <c r="F12" s="98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 x14ac:dyDescent="0.2">
      <c r="A13" s="54" t="s">
        <v>317</v>
      </c>
      <c r="B13" s="55"/>
      <c r="C13" s="55"/>
      <c r="D13" s="55"/>
      <c r="E13" s="55"/>
      <c r="F13" s="55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 x14ac:dyDescent="0.2">
      <c r="A14" s="110"/>
      <c r="B14" s="97"/>
      <c r="C14" s="97"/>
      <c r="D14" s="97"/>
      <c r="E14" s="97"/>
      <c r="F14" s="98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 x14ac:dyDescent="0.2">
      <c r="A15" s="111" t="s">
        <v>318</v>
      </c>
      <c r="B15" s="97"/>
      <c r="C15" s="97"/>
      <c r="D15" s="97"/>
      <c r="E15" s="97"/>
      <c r="F15" s="98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 x14ac:dyDescent="0.2">
      <c r="A16" s="110"/>
      <c r="B16" s="97"/>
      <c r="C16" s="97"/>
      <c r="D16" s="97"/>
      <c r="E16" s="97"/>
      <c r="F16" s="98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 x14ac:dyDescent="0.2">
      <c r="A17" s="19" t="s">
        <v>319</v>
      </c>
      <c r="B17" s="56">
        <v>40000</v>
      </c>
      <c r="C17" s="56">
        <v>38000</v>
      </c>
      <c r="D17" s="56">
        <v>42000</v>
      </c>
      <c r="E17" s="56">
        <v>42000</v>
      </c>
      <c r="F17" s="56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 x14ac:dyDescent="0.2">
      <c r="A18" s="19" t="s">
        <v>320</v>
      </c>
      <c r="B18" s="56">
        <v>6000</v>
      </c>
      <c r="C18" s="56">
        <v>5500</v>
      </c>
      <c r="D18" s="56">
        <v>6500</v>
      </c>
      <c r="E18" s="56">
        <v>6500</v>
      </c>
      <c r="F18" s="56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 x14ac:dyDescent="0.2">
      <c r="A19" s="57" t="s">
        <v>321</v>
      </c>
      <c r="B19" s="56">
        <v>500</v>
      </c>
      <c r="C19" s="56">
        <v>600</v>
      </c>
      <c r="D19" s="56">
        <v>700</v>
      </c>
      <c r="E19" s="56">
        <v>830</v>
      </c>
      <c r="F19" s="56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 x14ac:dyDescent="0.2">
      <c r="A20" s="19" t="s">
        <v>322</v>
      </c>
      <c r="B20" s="56">
        <v>1200</v>
      </c>
      <c r="C20" s="56">
        <v>900</v>
      </c>
      <c r="D20" s="56">
        <v>1500</v>
      </c>
      <c r="E20" s="56">
        <v>1900</v>
      </c>
      <c r="F20" s="56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 x14ac:dyDescent="0.2">
      <c r="A21" s="19" t="s">
        <v>323</v>
      </c>
      <c r="B21" s="56">
        <v>250</v>
      </c>
      <c r="C21" s="56">
        <v>230</v>
      </c>
      <c r="D21" s="56">
        <v>250</v>
      </c>
      <c r="E21" s="56">
        <v>240</v>
      </c>
      <c r="F21" s="56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 x14ac:dyDescent="0.2">
      <c r="A22" s="19" t="s">
        <v>324</v>
      </c>
      <c r="B22" s="56">
        <v>4000</v>
      </c>
      <c r="C22" s="56">
        <v>2500</v>
      </c>
      <c r="D22" s="56">
        <v>1700</v>
      </c>
      <c r="E22" s="56">
        <v>2000</v>
      </c>
      <c r="F22" s="56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 x14ac:dyDescent="0.2">
      <c r="A23" s="19" t="s">
        <v>325</v>
      </c>
      <c r="B23" s="56">
        <v>4500</v>
      </c>
      <c r="C23" s="56">
        <v>4500</v>
      </c>
      <c r="D23" s="56">
        <v>4500</v>
      </c>
      <c r="E23" s="56">
        <v>4500</v>
      </c>
      <c r="F23" s="56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 x14ac:dyDescent="0.2">
      <c r="A24" s="19" t="s">
        <v>326</v>
      </c>
      <c r="B24" s="56">
        <v>1200</v>
      </c>
      <c r="C24" s="56">
        <v>1500</v>
      </c>
      <c r="D24" s="56">
        <v>1800</v>
      </c>
      <c r="E24" s="56">
        <v>2100</v>
      </c>
      <c r="F24" s="56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 x14ac:dyDescent="0.2">
      <c r="A25" s="19" t="s">
        <v>229</v>
      </c>
      <c r="B25" s="56">
        <v>6500</v>
      </c>
      <c r="C25" s="56">
        <v>6500</v>
      </c>
      <c r="D25" s="56">
        <v>6500</v>
      </c>
      <c r="E25" s="56">
        <v>6500</v>
      </c>
      <c r="F25" s="56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 x14ac:dyDescent="0.2">
      <c r="A26" s="19" t="s">
        <v>327</v>
      </c>
      <c r="B26" s="56">
        <v>600</v>
      </c>
      <c r="C26" s="56">
        <v>600</v>
      </c>
      <c r="D26" s="56">
        <v>600</v>
      </c>
      <c r="E26" s="56">
        <v>600</v>
      </c>
      <c r="F26" s="56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 x14ac:dyDescent="0.2">
      <c r="A27" s="110"/>
      <c r="B27" s="97"/>
      <c r="C27" s="97"/>
      <c r="D27" s="97"/>
      <c r="E27" s="97"/>
      <c r="F27" s="98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 x14ac:dyDescent="0.2">
      <c r="A28" s="54" t="s">
        <v>144</v>
      </c>
      <c r="B28" s="55"/>
      <c r="C28" s="55"/>
      <c r="D28" s="55"/>
      <c r="E28" s="55"/>
      <c r="F28" s="55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 x14ac:dyDescent="0.2">
      <c r="A29" s="110"/>
      <c r="B29" s="97"/>
      <c r="C29" s="97"/>
      <c r="D29" s="97"/>
      <c r="E29" s="97"/>
      <c r="F29" s="98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 x14ac:dyDescent="0.2">
      <c r="A30" s="111" t="s">
        <v>328</v>
      </c>
      <c r="B30" s="97"/>
      <c r="C30" s="97"/>
      <c r="D30" s="97"/>
      <c r="E30" s="97"/>
      <c r="F30" s="98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 x14ac:dyDescent="0.2">
      <c r="A31" s="19"/>
      <c r="B31" s="56"/>
      <c r="C31" s="56"/>
      <c r="D31" s="56"/>
      <c r="E31" s="56"/>
      <c r="F31" s="56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 x14ac:dyDescent="0.2">
      <c r="A32" s="19" t="s">
        <v>329</v>
      </c>
      <c r="B32" s="56">
        <v>37800</v>
      </c>
      <c r="C32" s="56">
        <v>33000</v>
      </c>
      <c r="D32" s="56">
        <v>58200</v>
      </c>
      <c r="E32" s="56">
        <v>63200</v>
      </c>
      <c r="F32" s="56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75" customHeight="1" x14ac:dyDescent="0.2">
      <c r="A33" s="19" t="s">
        <v>330</v>
      </c>
      <c r="B33" s="56">
        <v>6300</v>
      </c>
      <c r="C33" s="56">
        <v>5500</v>
      </c>
      <c r="D33" s="56">
        <v>9700</v>
      </c>
      <c r="E33" s="56">
        <v>10500</v>
      </c>
      <c r="F33" s="56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75" customHeight="1" x14ac:dyDescent="0.2">
      <c r="A34" s="19" t="s">
        <v>331</v>
      </c>
      <c r="B34" s="56">
        <v>1200</v>
      </c>
      <c r="C34" s="56">
        <v>1100</v>
      </c>
      <c r="D34" s="56">
        <v>1500</v>
      </c>
      <c r="E34" s="56">
        <v>2000</v>
      </c>
      <c r="F34" s="56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 x14ac:dyDescent="0.2">
      <c r="A35" s="19" t="s">
        <v>332</v>
      </c>
      <c r="B35" s="56">
        <v>3000</v>
      </c>
      <c r="C35" s="56">
        <v>2500</v>
      </c>
      <c r="D35" s="56">
        <v>3300</v>
      </c>
      <c r="E35" s="56">
        <v>4400</v>
      </c>
      <c r="F35" s="56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 x14ac:dyDescent="0.2">
      <c r="A36" s="19" t="s">
        <v>333</v>
      </c>
      <c r="B36" s="56">
        <v>2500</v>
      </c>
      <c r="C36" s="56">
        <v>2700</v>
      </c>
      <c r="D36" s="56">
        <v>3000</v>
      </c>
      <c r="E36" s="56">
        <v>3500</v>
      </c>
      <c r="F36" s="56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 x14ac:dyDescent="0.2">
      <c r="A37" s="110"/>
      <c r="B37" s="97"/>
      <c r="C37" s="97"/>
      <c r="D37" s="97"/>
      <c r="E37" s="97"/>
      <c r="F37" s="98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 x14ac:dyDescent="0.2">
      <c r="A38" s="54" t="s">
        <v>144</v>
      </c>
      <c r="B38" s="55"/>
      <c r="C38" s="55"/>
      <c r="D38" s="55"/>
      <c r="E38" s="55"/>
      <c r="F38" s="55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 x14ac:dyDescent="0.2">
      <c r="A39" s="110"/>
      <c r="B39" s="97"/>
      <c r="C39" s="97"/>
      <c r="D39" s="97"/>
      <c r="E39" s="97"/>
      <c r="F39" s="98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6.5" customHeight="1" x14ac:dyDescent="0.2">
      <c r="A40" s="58" t="s">
        <v>334</v>
      </c>
      <c r="B40" s="56"/>
      <c r="C40" s="56"/>
      <c r="D40" s="56"/>
      <c r="E40" s="56"/>
      <c r="F40" s="56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 x14ac:dyDescent="0.2">
      <c r="A41" s="110"/>
      <c r="B41" s="97"/>
      <c r="C41" s="97"/>
      <c r="D41" s="97"/>
      <c r="E41" s="97"/>
      <c r="F41" s="98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2.75" customHeight="1" x14ac:dyDescent="0.2">
      <c r="A42" s="54" t="s">
        <v>335</v>
      </c>
      <c r="B42" s="55"/>
      <c r="C42" s="55"/>
      <c r="D42" s="55"/>
      <c r="E42" s="55"/>
      <c r="F42" s="55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2.75" customHeight="1" x14ac:dyDescent="0.2">
      <c r="A43" s="110"/>
      <c r="B43" s="97"/>
      <c r="C43" s="97"/>
      <c r="D43" s="97"/>
      <c r="E43" s="97"/>
      <c r="F43" s="98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2.75" customHeight="1" x14ac:dyDescent="0.2">
      <c r="A44" s="54" t="s">
        <v>336</v>
      </c>
      <c r="B44" s="59"/>
      <c r="C44" s="59"/>
      <c r="D44" s="59"/>
      <c r="E44" s="59"/>
      <c r="F44" s="59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2.75" customHeight="1" x14ac:dyDescent="0.2">
      <c r="A45" s="110"/>
      <c r="B45" s="97"/>
      <c r="C45" s="97"/>
      <c r="D45" s="97"/>
      <c r="E45" s="97"/>
      <c r="F45" s="98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 x14ac:dyDescent="0.2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 x14ac:dyDescent="0.2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 x14ac:dyDescent="0.2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.75" customHeight="1" x14ac:dyDescent="0.2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 x14ac:dyDescent="0.2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 x14ac:dyDescent="0.2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 x14ac:dyDescent="0.2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 x14ac:dyDescent="0.2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 x14ac:dyDescent="0.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 x14ac:dyDescent="0.2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 x14ac:dyDescent="0.2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 x14ac:dyDescent="0.2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 x14ac:dyDescent="0.2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 x14ac:dyDescent="0.2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 x14ac:dyDescent="0.2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 x14ac:dyDescent="0.2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 x14ac:dyDescent="0.2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 x14ac:dyDescent="0.2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 x14ac:dyDescent="0.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 x14ac:dyDescent="0.2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 x14ac:dyDescent="0.2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 x14ac:dyDescent="0.2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 x14ac:dyDescent="0.2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 x14ac:dyDescent="0.2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 x14ac:dyDescent="0.2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 x14ac:dyDescent="0.2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 x14ac:dyDescent="0.2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 x14ac:dyDescent="0.2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 x14ac:dyDescent="0.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 x14ac:dyDescent="0.2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 x14ac:dyDescent="0.2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 x14ac:dyDescent="0.2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 x14ac:dyDescent="0.2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 x14ac:dyDescent="0.2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 x14ac:dyDescent="0.2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 x14ac:dyDescent="0.2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 x14ac:dyDescent="0.2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 x14ac:dyDescent="0.2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 x14ac:dyDescent="0.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 x14ac:dyDescent="0.2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 x14ac:dyDescent="0.2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 x14ac:dyDescent="0.2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 x14ac:dyDescent="0.2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 x14ac:dyDescent="0.2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 x14ac:dyDescent="0.2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 x14ac:dyDescent="0.2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 x14ac:dyDescent="0.2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 x14ac:dyDescent="0.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 x14ac:dyDescent="0.2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 x14ac:dyDescent="0.2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 x14ac:dyDescent="0.2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 x14ac:dyDescent="0.2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 x14ac:dyDescent="0.2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 x14ac:dyDescent="0.2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 x14ac:dyDescent="0.2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 x14ac:dyDescent="0.2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 x14ac:dyDescent="0.2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 x14ac:dyDescent="0.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 x14ac:dyDescent="0.2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 x14ac:dyDescent="0.2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 x14ac:dyDescent="0.2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 x14ac:dyDescent="0.2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 x14ac:dyDescent="0.2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 x14ac:dyDescent="0.2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 x14ac:dyDescent="0.2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 x14ac:dyDescent="0.2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 x14ac:dyDescent="0.2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 x14ac:dyDescent="0.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 x14ac:dyDescent="0.2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 x14ac:dyDescent="0.2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 x14ac:dyDescent="0.2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 x14ac:dyDescent="0.2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 x14ac:dyDescent="0.2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 x14ac:dyDescent="0.2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 x14ac:dyDescent="0.2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 x14ac:dyDescent="0.2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 x14ac:dyDescent="0.2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 x14ac:dyDescent="0.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 x14ac:dyDescent="0.2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 x14ac:dyDescent="0.2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 x14ac:dyDescent="0.2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 x14ac:dyDescent="0.2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 x14ac:dyDescent="0.2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 x14ac:dyDescent="0.2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 x14ac:dyDescent="0.2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 x14ac:dyDescent="0.2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 x14ac:dyDescent="0.2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 x14ac:dyDescent="0.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 x14ac:dyDescent="0.2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 x14ac:dyDescent="0.2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 x14ac:dyDescent="0.2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 x14ac:dyDescent="0.2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 x14ac:dyDescent="0.2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 x14ac:dyDescent="0.2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 x14ac:dyDescent="0.2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 x14ac:dyDescent="0.2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 x14ac:dyDescent="0.2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 x14ac:dyDescent="0.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 x14ac:dyDescent="0.2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 x14ac:dyDescent="0.2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 x14ac:dyDescent="0.2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 x14ac:dyDescent="0.2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 x14ac:dyDescent="0.2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 x14ac:dyDescent="0.2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 x14ac:dyDescent="0.2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 x14ac:dyDescent="0.2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 x14ac:dyDescent="0.2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 x14ac:dyDescent="0.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 x14ac:dyDescent="0.2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 x14ac:dyDescent="0.2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 x14ac:dyDescent="0.2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 x14ac:dyDescent="0.2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 x14ac:dyDescent="0.2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 x14ac:dyDescent="0.2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 x14ac:dyDescent="0.2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 x14ac:dyDescent="0.2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 x14ac:dyDescent="0.2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 x14ac:dyDescent="0.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 x14ac:dyDescent="0.2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 x14ac:dyDescent="0.2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 x14ac:dyDescent="0.2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 x14ac:dyDescent="0.2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 x14ac:dyDescent="0.2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 x14ac:dyDescent="0.2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 x14ac:dyDescent="0.2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 x14ac:dyDescent="0.2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 x14ac:dyDescent="0.2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 x14ac:dyDescent="0.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 x14ac:dyDescent="0.2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 x14ac:dyDescent="0.2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 x14ac:dyDescent="0.2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 x14ac:dyDescent="0.2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 x14ac:dyDescent="0.2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 x14ac:dyDescent="0.2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 x14ac:dyDescent="0.2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 x14ac:dyDescent="0.2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 x14ac:dyDescent="0.2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 x14ac:dyDescent="0.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 x14ac:dyDescent="0.2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 x14ac:dyDescent="0.2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 x14ac:dyDescent="0.2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 x14ac:dyDescent="0.2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 x14ac:dyDescent="0.2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 x14ac:dyDescent="0.2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 x14ac:dyDescent="0.2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 x14ac:dyDescent="0.2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 x14ac:dyDescent="0.2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 x14ac:dyDescent="0.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 x14ac:dyDescent="0.2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 x14ac:dyDescent="0.2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 x14ac:dyDescent="0.2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 x14ac:dyDescent="0.2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 x14ac:dyDescent="0.2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 x14ac:dyDescent="0.2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 x14ac:dyDescent="0.2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 x14ac:dyDescent="0.2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 x14ac:dyDescent="0.2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 x14ac:dyDescent="0.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 x14ac:dyDescent="0.2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 x14ac:dyDescent="0.2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 x14ac:dyDescent="0.2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 x14ac:dyDescent="0.2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 x14ac:dyDescent="0.2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 x14ac:dyDescent="0.2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 x14ac:dyDescent="0.2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 x14ac:dyDescent="0.2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 x14ac:dyDescent="0.2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 x14ac:dyDescent="0.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2.75" customHeight="1" x14ac:dyDescent="0.2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2.75" customHeight="1" x14ac:dyDescent="0.2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2.75" customHeight="1" x14ac:dyDescent="0.2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2.75" customHeight="1" x14ac:dyDescent="0.2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2.75" customHeight="1" x14ac:dyDescent="0.2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2.75" customHeight="1" x14ac:dyDescent="0.2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2.75" customHeight="1" x14ac:dyDescent="0.2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2.75" customHeight="1" x14ac:dyDescent="0.2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2.75" customHeight="1" x14ac:dyDescent="0.2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2.75" customHeight="1" x14ac:dyDescent="0.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2.75" customHeight="1" x14ac:dyDescent="0.2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2.75" customHeight="1" x14ac:dyDescent="0.2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2.75" customHeight="1" x14ac:dyDescent="0.2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2.75" customHeight="1" x14ac:dyDescent="0.2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2.75" customHeight="1" x14ac:dyDescent="0.2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2.75" customHeight="1" x14ac:dyDescent="0.2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2.75" customHeight="1" x14ac:dyDescent="0.2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2.75" customHeight="1" x14ac:dyDescent="0.2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2.75" customHeight="1" x14ac:dyDescent="0.2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2.75" customHeight="1" x14ac:dyDescent="0.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2.75" customHeight="1" x14ac:dyDescent="0.2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2.75" customHeight="1" x14ac:dyDescent="0.2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2.75" customHeight="1" x14ac:dyDescent="0.2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2.75" customHeight="1" x14ac:dyDescent="0.2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2.75" customHeight="1" x14ac:dyDescent="0.2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2.75" customHeight="1" x14ac:dyDescent="0.2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2.75" customHeight="1" x14ac:dyDescent="0.2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2.75" customHeight="1" x14ac:dyDescent="0.2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2.75" customHeight="1" x14ac:dyDescent="0.2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2.75" customHeight="1" x14ac:dyDescent="0.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2.75" customHeight="1" x14ac:dyDescent="0.2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2.75" customHeight="1" x14ac:dyDescent="0.2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2.75" customHeight="1" x14ac:dyDescent="0.2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2.75" customHeight="1" x14ac:dyDescent="0.2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2.75" customHeight="1" x14ac:dyDescent="0.2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2.75" customHeight="1" x14ac:dyDescent="0.2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2.75" customHeight="1" x14ac:dyDescent="0.2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2.75" customHeight="1" x14ac:dyDescent="0.2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2.75" customHeight="1" x14ac:dyDescent="0.2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2.75" customHeight="1" x14ac:dyDescent="0.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2.75" customHeight="1" x14ac:dyDescent="0.2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2.75" customHeight="1" x14ac:dyDescent="0.2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2.75" customHeight="1" x14ac:dyDescent="0.2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2.75" customHeight="1" x14ac:dyDescent="0.2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2.75" customHeight="1" x14ac:dyDescent="0.2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2.75" customHeight="1" x14ac:dyDescent="0.2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2.75" customHeight="1" x14ac:dyDescent="0.2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2.75" customHeight="1" x14ac:dyDescent="0.2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2.75" customHeight="1" x14ac:dyDescent="0.2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2.75" customHeight="1" x14ac:dyDescent="0.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2.75" customHeight="1" x14ac:dyDescent="0.2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2.75" customHeight="1" x14ac:dyDescent="0.2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2.75" customHeight="1" x14ac:dyDescent="0.2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2.75" customHeight="1" x14ac:dyDescent="0.2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2.75" customHeight="1" x14ac:dyDescent="0.2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2.75" customHeight="1" x14ac:dyDescent="0.2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2.75" customHeight="1" x14ac:dyDescent="0.2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2.75" customHeight="1" x14ac:dyDescent="0.2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2.75" customHeight="1" x14ac:dyDescent="0.2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2.75" customHeight="1" x14ac:dyDescent="0.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2.75" customHeight="1" x14ac:dyDescent="0.2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2.75" customHeight="1" x14ac:dyDescent="0.2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2.75" customHeight="1" x14ac:dyDescent="0.2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2.75" customHeight="1" x14ac:dyDescent="0.2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2.75" customHeight="1" x14ac:dyDescent="0.2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2.75" customHeight="1" x14ac:dyDescent="0.2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2.75" customHeight="1" x14ac:dyDescent="0.2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2.75" customHeight="1" x14ac:dyDescent="0.2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2.75" customHeight="1" x14ac:dyDescent="0.2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2.75" customHeight="1" x14ac:dyDescent="0.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2.75" customHeight="1" x14ac:dyDescent="0.2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2.75" customHeight="1" x14ac:dyDescent="0.2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2.75" customHeight="1" x14ac:dyDescent="0.2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2.75" customHeight="1" x14ac:dyDescent="0.2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2.75" customHeight="1" x14ac:dyDescent="0.2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2.75" customHeight="1" x14ac:dyDescent="0.2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2.75" customHeight="1" x14ac:dyDescent="0.2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2.75" customHeight="1" x14ac:dyDescent="0.2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2.75" customHeight="1" x14ac:dyDescent="0.2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2.75" customHeight="1" x14ac:dyDescent="0.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2.75" customHeight="1" x14ac:dyDescent="0.2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2.75" customHeight="1" x14ac:dyDescent="0.2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2.75" customHeight="1" x14ac:dyDescent="0.2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2.75" customHeight="1" x14ac:dyDescent="0.2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2.75" customHeight="1" x14ac:dyDescent="0.2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2.75" customHeight="1" x14ac:dyDescent="0.2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2.75" customHeight="1" x14ac:dyDescent="0.2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2.75" customHeight="1" x14ac:dyDescent="0.2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2.75" customHeight="1" x14ac:dyDescent="0.2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2.75" customHeight="1" x14ac:dyDescent="0.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2.75" customHeight="1" x14ac:dyDescent="0.2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2.75" customHeight="1" x14ac:dyDescent="0.2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2.75" customHeight="1" x14ac:dyDescent="0.2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2.75" customHeight="1" x14ac:dyDescent="0.2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2.75" customHeight="1" x14ac:dyDescent="0.2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2.75" customHeight="1" x14ac:dyDescent="0.2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2.75" customHeight="1" x14ac:dyDescent="0.2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2.75" customHeight="1" x14ac:dyDescent="0.2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2.75" customHeight="1" x14ac:dyDescent="0.2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2.75" customHeight="1" x14ac:dyDescent="0.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2.75" customHeight="1" x14ac:dyDescent="0.2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2.75" customHeight="1" x14ac:dyDescent="0.2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2.75" customHeight="1" x14ac:dyDescent="0.2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2.75" customHeight="1" x14ac:dyDescent="0.2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2.75" customHeight="1" x14ac:dyDescent="0.2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2.75" customHeight="1" x14ac:dyDescent="0.2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2.75" customHeight="1" x14ac:dyDescent="0.2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2.75" customHeight="1" x14ac:dyDescent="0.2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2.75" customHeight="1" x14ac:dyDescent="0.2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2.75" customHeight="1" x14ac:dyDescent="0.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2.75" customHeight="1" x14ac:dyDescent="0.2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2.75" customHeight="1" x14ac:dyDescent="0.2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2.75" customHeight="1" x14ac:dyDescent="0.2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2.75" customHeight="1" x14ac:dyDescent="0.2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2.75" customHeight="1" x14ac:dyDescent="0.2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2.75" customHeight="1" x14ac:dyDescent="0.2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2.75" customHeight="1" x14ac:dyDescent="0.2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2.75" customHeight="1" x14ac:dyDescent="0.2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2.75" customHeight="1" x14ac:dyDescent="0.2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2.75" customHeight="1" x14ac:dyDescent="0.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2.75" customHeight="1" x14ac:dyDescent="0.2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2.75" customHeight="1" x14ac:dyDescent="0.2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2.75" customHeight="1" x14ac:dyDescent="0.2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2.75" customHeight="1" x14ac:dyDescent="0.2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2.75" customHeight="1" x14ac:dyDescent="0.2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2.75" customHeight="1" x14ac:dyDescent="0.2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2.75" customHeight="1" x14ac:dyDescent="0.2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2.75" customHeight="1" x14ac:dyDescent="0.2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2.75" customHeight="1" x14ac:dyDescent="0.2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2.75" customHeight="1" x14ac:dyDescent="0.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2.75" customHeight="1" x14ac:dyDescent="0.2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2.75" customHeight="1" x14ac:dyDescent="0.2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2.75" customHeight="1" x14ac:dyDescent="0.2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2.75" customHeight="1" x14ac:dyDescent="0.2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2.75" customHeight="1" x14ac:dyDescent="0.2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2.75" customHeight="1" x14ac:dyDescent="0.2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2.75" customHeight="1" x14ac:dyDescent="0.2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2.75" customHeight="1" x14ac:dyDescent="0.2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2.75" customHeight="1" x14ac:dyDescent="0.2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2.75" customHeight="1" x14ac:dyDescent="0.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2.75" customHeight="1" x14ac:dyDescent="0.2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2.75" customHeight="1" x14ac:dyDescent="0.2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2.75" customHeight="1" x14ac:dyDescent="0.2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2.75" customHeight="1" x14ac:dyDescent="0.2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2.75" customHeight="1" x14ac:dyDescent="0.2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2.75" customHeight="1" x14ac:dyDescent="0.2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2.75" customHeight="1" x14ac:dyDescent="0.2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2.75" customHeight="1" x14ac:dyDescent="0.2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2.75" customHeight="1" x14ac:dyDescent="0.2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2.75" customHeight="1" x14ac:dyDescent="0.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2.75" customHeight="1" x14ac:dyDescent="0.2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2.75" customHeight="1" x14ac:dyDescent="0.2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2.75" customHeight="1" x14ac:dyDescent="0.2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2.75" customHeight="1" x14ac:dyDescent="0.2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2.75" customHeight="1" x14ac:dyDescent="0.2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2.75" customHeight="1" x14ac:dyDescent="0.2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2.75" customHeight="1" x14ac:dyDescent="0.2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2.75" customHeight="1" x14ac:dyDescent="0.2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2.75" customHeight="1" x14ac:dyDescent="0.2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2.75" customHeight="1" x14ac:dyDescent="0.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2.75" customHeight="1" x14ac:dyDescent="0.2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2.75" customHeight="1" x14ac:dyDescent="0.2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2.75" customHeight="1" x14ac:dyDescent="0.2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2.75" customHeight="1" x14ac:dyDescent="0.2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2.75" customHeight="1" x14ac:dyDescent="0.2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2.75" customHeight="1" x14ac:dyDescent="0.2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2.75" customHeight="1" x14ac:dyDescent="0.2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2.75" customHeight="1" x14ac:dyDescent="0.2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2.75" customHeight="1" x14ac:dyDescent="0.2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2.75" customHeight="1" x14ac:dyDescent="0.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2.75" customHeight="1" x14ac:dyDescent="0.2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2.75" customHeight="1" x14ac:dyDescent="0.2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2.75" customHeight="1" x14ac:dyDescent="0.2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2.75" customHeight="1" x14ac:dyDescent="0.2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2.75" customHeight="1" x14ac:dyDescent="0.2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2.75" customHeight="1" x14ac:dyDescent="0.2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2.75" customHeight="1" x14ac:dyDescent="0.2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2.75" customHeight="1" x14ac:dyDescent="0.2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2.75" customHeight="1" x14ac:dyDescent="0.2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2.75" customHeight="1" x14ac:dyDescent="0.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2.75" customHeight="1" x14ac:dyDescent="0.2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2.75" customHeight="1" x14ac:dyDescent="0.2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2.75" customHeight="1" x14ac:dyDescent="0.2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2.75" customHeight="1" x14ac:dyDescent="0.2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2.75" customHeight="1" x14ac:dyDescent="0.2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2.75" customHeight="1" x14ac:dyDescent="0.2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2.75" customHeight="1" x14ac:dyDescent="0.2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2.75" customHeight="1" x14ac:dyDescent="0.2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2.75" customHeight="1" x14ac:dyDescent="0.2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2.75" customHeight="1" x14ac:dyDescent="0.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2.75" customHeight="1" x14ac:dyDescent="0.2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2.75" customHeight="1" x14ac:dyDescent="0.2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2.75" customHeight="1" x14ac:dyDescent="0.2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2.75" customHeight="1" x14ac:dyDescent="0.2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2.75" customHeight="1" x14ac:dyDescent="0.2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2.75" customHeight="1" x14ac:dyDescent="0.2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2.75" customHeight="1" x14ac:dyDescent="0.2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2.75" customHeight="1" x14ac:dyDescent="0.2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2.75" customHeight="1" x14ac:dyDescent="0.2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2.75" customHeight="1" x14ac:dyDescent="0.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2.75" customHeight="1" x14ac:dyDescent="0.2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2.75" customHeight="1" x14ac:dyDescent="0.2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2.75" customHeight="1" x14ac:dyDescent="0.2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2.75" customHeight="1" x14ac:dyDescent="0.2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2.75" customHeight="1" x14ac:dyDescent="0.2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2.75" customHeight="1" x14ac:dyDescent="0.2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2.75" customHeight="1" x14ac:dyDescent="0.2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2.75" customHeight="1" x14ac:dyDescent="0.2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2.75" customHeight="1" x14ac:dyDescent="0.2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2.75" customHeight="1" x14ac:dyDescent="0.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2.75" customHeight="1" x14ac:dyDescent="0.2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2.75" customHeight="1" x14ac:dyDescent="0.2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2.75" customHeight="1" x14ac:dyDescent="0.2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2.75" customHeight="1" x14ac:dyDescent="0.2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2.75" customHeight="1" x14ac:dyDescent="0.2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2.75" customHeight="1" x14ac:dyDescent="0.2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2.75" customHeight="1" x14ac:dyDescent="0.2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2.75" customHeight="1" x14ac:dyDescent="0.2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2.75" customHeight="1" x14ac:dyDescent="0.2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2.75" customHeight="1" x14ac:dyDescent="0.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2.75" customHeight="1" x14ac:dyDescent="0.2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2.75" customHeight="1" x14ac:dyDescent="0.2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2.75" customHeight="1" x14ac:dyDescent="0.2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2.75" customHeight="1" x14ac:dyDescent="0.2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2.75" customHeight="1" x14ac:dyDescent="0.2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2.75" customHeight="1" x14ac:dyDescent="0.2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2.75" customHeight="1" x14ac:dyDescent="0.2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2.75" customHeight="1" x14ac:dyDescent="0.2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2.75" customHeight="1" x14ac:dyDescent="0.2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2.75" customHeight="1" x14ac:dyDescent="0.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2.75" customHeight="1" x14ac:dyDescent="0.2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2.75" customHeight="1" x14ac:dyDescent="0.2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2.75" customHeight="1" x14ac:dyDescent="0.2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2.75" customHeight="1" x14ac:dyDescent="0.2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2.75" customHeight="1" x14ac:dyDescent="0.2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2.75" customHeight="1" x14ac:dyDescent="0.2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2.75" customHeight="1" x14ac:dyDescent="0.2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2.75" customHeight="1" x14ac:dyDescent="0.2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2.75" customHeight="1" x14ac:dyDescent="0.2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2.75" customHeight="1" x14ac:dyDescent="0.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2.75" customHeight="1" x14ac:dyDescent="0.2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2.75" customHeight="1" x14ac:dyDescent="0.2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2.75" customHeight="1" x14ac:dyDescent="0.2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2.75" customHeight="1" x14ac:dyDescent="0.2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2.75" customHeight="1" x14ac:dyDescent="0.2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2.75" customHeight="1" x14ac:dyDescent="0.2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2.75" customHeight="1" x14ac:dyDescent="0.2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2.75" customHeight="1" x14ac:dyDescent="0.2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2.75" customHeight="1" x14ac:dyDescent="0.2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2.75" customHeight="1" x14ac:dyDescent="0.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2.75" customHeight="1" x14ac:dyDescent="0.2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2.75" customHeight="1" x14ac:dyDescent="0.2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2.75" customHeight="1" x14ac:dyDescent="0.2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2.75" customHeight="1" x14ac:dyDescent="0.2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2.75" customHeight="1" x14ac:dyDescent="0.2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2.75" customHeight="1" x14ac:dyDescent="0.2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2.75" customHeight="1" x14ac:dyDescent="0.2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2.75" customHeight="1" x14ac:dyDescent="0.2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2.75" customHeight="1" x14ac:dyDescent="0.2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2.75" customHeight="1" x14ac:dyDescent="0.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2.75" customHeight="1" x14ac:dyDescent="0.2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2.75" customHeight="1" x14ac:dyDescent="0.2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2.75" customHeight="1" x14ac:dyDescent="0.2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2.75" customHeight="1" x14ac:dyDescent="0.2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2.75" customHeight="1" x14ac:dyDescent="0.2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2.75" customHeight="1" x14ac:dyDescent="0.2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2.75" customHeight="1" x14ac:dyDescent="0.2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2.75" customHeight="1" x14ac:dyDescent="0.2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2.75" customHeight="1" x14ac:dyDescent="0.2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2.75" customHeight="1" x14ac:dyDescent="0.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2.75" customHeight="1" x14ac:dyDescent="0.2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2.75" customHeight="1" x14ac:dyDescent="0.2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2.75" customHeight="1" x14ac:dyDescent="0.2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2.75" customHeight="1" x14ac:dyDescent="0.2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2.75" customHeight="1" x14ac:dyDescent="0.2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2.75" customHeight="1" x14ac:dyDescent="0.2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2.75" customHeight="1" x14ac:dyDescent="0.2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2.75" customHeight="1" x14ac:dyDescent="0.2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2.75" customHeight="1" x14ac:dyDescent="0.2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2.75" customHeight="1" x14ac:dyDescent="0.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2.75" customHeight="1" x14ac:dyDescent="0.2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2.75" customHeight="1" x14ac:dyDescent="0.2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2.75" customHeight="1" x14ac:dyDescent="0.2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2.75" customHeight="1" x14ac:dyDescent="0.2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2.75" customHeight="1" x14ac:dyDescent="0.2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2.75" customHeight="1" x14ac:dyDescent="0.2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2.75" customHeight="1" x14ac:dyDescent="0.2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2.75" customHeight="1" x14ac:dyDescent="0.2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2.75" customHeight="1" x14ac:dyDescent="0.2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2.75" customHeight="1" x14ac:dyDescent="0.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2.75" customHeight="1" x14ac:dyDescent="0.2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2.75" customHeight="1" x14ac:dyDescent="0.2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2.75" customHeight="1" x14ac:dyDescent="0.2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2.75" customHeight="1" x14ac:dyDescent="0.2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2.75" customHeight="1" x14ac:dyDescent="0.2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2.75" customHeight="1" x14ac:dyDescent="0.2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2.75" customHeight="1" x14ac:dyDescent="0.2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2.75" customHeight="1" x14ac:dyDescent="0.2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2.75" customHeight="1" x14ac:dyDescent="0.2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2.75" customHeight="1" x14ac:dyDescent="0.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2.75" customHeight="1" x14ac:dyDescent="0.2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2.75" customHeight="1" x14ac:dyDescent="0.2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2.75" customHeight="1" x14ac:dyDescent="0.2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2.75" customHeight="1" x14ac:dyDescent="0.2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2.75" customHeight="1" x14ac:dyDescent="0.2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2.75" customHeight="1" x14ac:dyDescent="0.2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2.75" customHeight="1" x14ac:dyDescent="0.2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2.75" customHeight="1" x14ac:dyDescent="0.2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2.75" customHeight="1" x14ac:dyDescent="0.2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2.75" customHeight="1" x14ac:dyDescent="0.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2.75" customHeight="1" x14ac:dyDescent="0.2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2.75" customHeight="1" x14ac:dyDescent="0.2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2.75" customHeight="1" x14ac:dyDescent="0.2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2.75" customHeight="1" x14ac:dyDescent="0.2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2.75" customHeight="1" x14ac:dyDescent="0.2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2.75" customHeight="1" x14ac:dyDescent="0.2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2.75" customHeight="1" x14ac:dyDescent="0.2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2.75" customHeight="1" x14ac:dyDescent="0.2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2.75" customHeight="1" x14ac:dyDescent="0.2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2.75" customHeight="1" x14ac:dyDescent="0.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2.75" customHeight="1" x14ac:dyDescent="0.2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2.75" customHeight="1" x14ac:dyDescent="0.2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2.75" customHeight="1" x14ac:dyDescent="0.2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2.75" customHeight="1" x14ac:dyDescent="0.2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2.75" customHeight="1" x14ac:dyDescent="0.2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2.75" customHeight="1" x14ac:dyDescent="0.2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2.75" customHeight="1" x14ac:dyDescent="0.2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2.75" customHeight="1" x14ac:dyDescent="0.2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2.75" customHeight="1" x14ac:dyDescent="0.2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2.75" customHeight="1" x14ac:dyDescent="0.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2.75" customHeight="1" x14ac:dyDescent="0.2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2.75" customHeight="1" x14ac:dyDescent="0.2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2.75" customHeight="1" x14ac:dyDescent="0.2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2.75" customHeight="1" x14ac:dyDescent="0.2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2.75" customHeight="1" x14ac:dyDescent="0.2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2.75" customHeight="1" x14ac:dyDescent="0.2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2.75" customHeight="1" x14ac:dyDescent="0.2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2.75" customHeight="1" x14ac:dyDescent="0.2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2.75" customHeight="1" x14ac:dyDescent="0.2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2.75" customHeight="1" x14ac:dyDescent="0.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2.75" customHeight="1" x14ac:dyDescent="0.2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2.75" customHeight="1" x14ac:dyDescent="0.2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2.75" customHeight="1" x14ac:dyDescent="0.2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2.75" customHeight="1" x14ac:dyDescent="0.2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2.75" customHeight="1" x14ac:dyDescent="0.2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2.75" customHeight="1" x14ac:dyDescent="0.2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2.75" customHeight="1" x14ac:dyDescent="0.2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2.75" customHeight="1" x14ac:dyDescent="0.2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2.75" customHeight="1" x14ac:dyDescent="0.2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2.75" customHeight="1" x14ac:dyDescent="0.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2.75" customHeight="1" x14ac:dyDescent="0.2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2.75" customHeight="1" x14ac:dyDescent="0.2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2.75" customHeight="1" x14ac:dyDescent="0.2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2.75" customHeight="1" x14ac:dyDescent="0.2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2.75" customHeight="1" x14ac:dyDescent="0.2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2.75" customHeight="1" x14ac:dyDescent="0.2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2.75" customHeight="1" x14ac:dyDescent="0.2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2.75" customHeight="1" x14ac:dyDescent="0.2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2.75" customHeight="1" x14ac:dyDescent="0.2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2.75" customHeight="1" x14ac:dyDescent="0.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2.75" customHeight="1" x14ac:dyDescent="0.2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2.75" customHeight="1" x14ac:dyDescent="0.2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2.75" customHeight="1" x14ac:dyDescent="0.2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2.75" customHeight="1" x14ac:dyDescent="0.2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2.75" customHeight="1" x14ac:dyDescent="0.2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2.75" customHeight="1" x14ac:dyDescent="0.2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2.75" customHeight="1" x14ac:dyDescent="0.2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2.75" customHeight="1" x14ac:dyDescent="0.2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2.75" customHeight="1" x14ac:dyDescent="0.2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2.75" customHeight="1" x14ac:dyDescent="0.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2.75" customHeight="1" x14ac:dyDescent="0.2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2.75" customHeight="1" x14ac:dyDescent="0.2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2.75" customHeight="1" x14ac:dyDescent="0.2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2.75" customHeight="1" x14ac:dyDescent="0.2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2.75" customHeight="1" x14ac:dyDescent="0.2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2.75" customHeight="1" x14ac:dyDescent="0.2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2.75" customHeight="1" x14ac:dyDescent="0.2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2.75" customHeight="1" x14ac:dyDescent="0.2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2.75" customHeight="1" x14ac:dyDescent="0.2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2.75" customHeight="1" x14ac:dyDescent="0.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2.75" customHeight="1" x14ac:dyDescent="0.2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2.75" customHeight="1" x14ac:dyDescent="0.2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2.75" customHeight="1" x14ac:dyDescent="0.2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2.75" customHeight="1" x14ac:dyDescent="0.2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2.75" customHeight="1" x14ac:dyDescent="0.2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2.75" customHeight="1" x14ac:dyDescent="0.2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2.75" customHeight="1" x14ac:dyDescent="0.2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2.75" customHeight="1" x14ac:dyDescent="0.2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2.75" customHeight="1" x14ac:dyDescent="0.2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2.75" customHeight="1" x14ac:dyDescent="0.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2.75" customHeight="1" x14ac:dyDescent="0.2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2.75" customHeight="1" x14ac:dyDescent="0.2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2.75" customHeight="1" x14ac:dyDescent="0.2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2.75" customHeight="1" x14ac:dyDescent="0.2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2.75" customHeight="1" x14ac:dyDescent="0.2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2.75" customHeight="1" x14ac:dyDescent="0.2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2.75" customHeight="1" x14ac:dyDescent="0.2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2.75" customHeight="1" x14ac:dyDescent="0.2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2.75" customHeight="1" x14ac:dyDescent="0.2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2.75" customHeight="1" x14ac:dyDescent="0.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2.75" customHeight="1" x14ac:dyDescent="0.2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2.75" customHeight="1" x14ac:dyDescent="0.2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2.75" customHeight="1" x14ac:dyDescent="0.2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2.75" customHeight="1" x14ac:dyDescent="0.2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2.75" customHeight="1" x14ac:dyDescent="0.2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2.75" customHeight="1" x14ac:dyDescent="0.2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2.75" customHeight="1" x14ac:dyDescent="0.2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2.75" customHeight="1" x14ac:dyDescent="0.2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2.75" customHeight="1" x14ac:dyDescent="0.2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2.75" customHeight="1" x14ac:dyDescent="0.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2.75" customHeight="1" x14ac:dyDescent="0.2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2.75" customHeight="1" x14ac:dyDescent="0.2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2.75" customHeight="1" x14ac:dyDescent="0.2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2.75" customHeight="1" x14ac:dyDescent="0.2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2.75" customHeight="1" x14ac:dyDescent="0.2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2.75" customHeight="1" x14ac:dyDescent="0.2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2.75" customHeight="1" x14ac:dyDescent="0.2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2.75" customHeight="1" x14ac:dyDescent="0.2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2.75" customHeight="1" x14ac:dyDescent="0.2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2.75" customHeight="1" x14ac:dyDescent="0.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2.75" customHeight="1" x14ac:dyDescent="0.2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2.75" customHeight="1" x14ac:dyDescent="0.2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2.75" customHeight="1" x14ac:dyDescent="0.2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2.75" customHeight="1" x14ac:dyDescent="0.2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2.75" customHeight="1" x14ac:dyDescent="0.2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2.75" customHeight="1" x14ac:dyDescent="0.2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2.75" customHeight="1" x14ac:dyDescent="0.2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2.75" customHeight="1" x14ac:dyDescent="0.2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2.75" customHeight="1" x14ac:dyDescent="0.2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2.75" customHeight="1" x14ac:dyDescent="0.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2.75" customHeight="1" x14ac:dyDescent="0.2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2.75" customHeight="1" x14ac:dyDescent="0.2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2.75" customHeight="1" x14ac:dyDescent="0.2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2.75" customHeight="1" x14ac:dyDescent="0.2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2.75" customHeight="1" x14ac:dyDescent="0.2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2.75" customHeight="1" x14ac:dyDescent="0.2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2.75" customHeight="1" x14ac:dyDescent="0.2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2.75" customHeight="1" x14ac:dyDescent="0.2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2.75" customHeight="1" x14ac:dyDescent="0.2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2.75" customHeight="1" x14ac:dyDescent="0.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2.75" customHeight="1" x14ac:dyDescent="0.2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2.75" customHeight="1" x14ac:dyDescent="0.2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2.75" customHeight="1" x14ac:dyDescent="0.2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2.75" customHeight="1" x14ac:dyDescent="0.2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2.75" customHeight="1" x14ac:dyDescent="0.2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2.75" customHeight="1" x14ac:dyDescent="0.2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2.75" customHeight="1" x14ac:dyDescent="0.2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2.75" customHeight="1" x14ac:dyDescent="0.2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2.75" customHeight="1" x14ac:dyDescent="0.2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2.75" customHeight="1" x14ac:dyDescent="0.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2.75" customHeight="1" x14ac:dyDescent="0.2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2.75" customHeight="1" x14ac:dyDescent="0.2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2.75" customHeight="1" x14ac:dyDescent="0.2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2.75" customHeight="1" x14ac:dyDescent="0.2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2.75" customHeight="1" x14ac:dyDescent="0.2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2.75" customHeight="1" x14ac:dyDescent="0.2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2.75" customHeight="1" x14ac:dyDescent="0.2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2.75" customHeight="1" x14ac:dyDescent="0.2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2.75" customHeight="1" x14ac:dyDescent="0.2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2.75" customHeight="1" x14ac:dyDescent="0.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2.75" customHeight="1" x14ac:dyDescent="0.2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2.75" customHeight="1" x14ac:dyDescent="0.2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2.75" customHeight="1" x14ac:dyDescent="0.2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2.75" customHeight="1" x14ac:dyDescent="0.2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2.75" customHeight="1" x14ac:dyDescent="0.2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2.75" customHeight="1" x14ac:dyDescent="0.2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2.75" customHeight="1" x14ac:dyDescent="0.2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2.75" customHeight="1" x14ac:dyDescent="0.2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2.75" customHeight="1" x14ac:dyDescent="0.2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2.75" customHeight="1" x14ac:dyDescent="0.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2.75" customHeight="1" x14ac:dyDescent="0.2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2.75" customHeight="1" x14ac:dyDescent="0.2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2.75" customHeight="1" x14ac:dyDescent="0.2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2.75" customHeight="1" x14ac:dyDescent="0.2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2.75" customHeight="1" x14ac:dyDescent="0.2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2.75" customHeight="1" x14ac:dyDescent="0.2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2.75" customHeight="1" x14ac:dyDescent="0.2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2.75" customHeight="1" x14ac:dyDescent="0.2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2.75" customHeight="1" x14ac:dyDescent="0.2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2.75" customHeight="1" x14ac:dyDescent="0.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2.75" customHeight="1" x14ac:dyDescent="0.2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2.75" customHeight="1" x14ac:dyDescent="0.2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2.75" customHeight="1" x14ac:dyDescent="0.2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2.75" customHeight="1" x14ac:dyDescent="0.2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2.75" customHeight="1" x14ac:dyDescent="0.2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2.75" customHeight="1" x14ac:dyDescent="0.2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2.75" customHeight="1" x14ac:dyDescent="0.2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2.75" customHeight="1" x14ac:dyDescent="0.2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2.75" customHeight="1" x14ac:dyDescent="0.2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2.75" customHeight="1" x14ac:dyDescent="0.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2.75" customHeight="1" x14ac:dyDescent="0.2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2.75" customHeight="1" x14ac:dyDescent="0.2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2.75" customHeight="1" x14ac:dyDescent="0.2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2.75" customHeight="1" x14ac:dyDescent="0.2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2.75" customHeight="1" x14ac:dyDescent="0.2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2.75" customHeight="1" x14ac:dyDescent="0.2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2.75" customHeight="1" x14ac:dyDescent="0.2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2.75" customHeight="1" x14ac:dyDescent="0.2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2.75" customHeight="1" x14ac:dyDescent="0.2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2.75" customHeight="1" x14ac:dyDescent="0.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2.75" customHeight="1" x14ac:dyDescent="0.2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2.75" customHeight="1" x14ac:dyDescent="0.2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2.75" customHeight="1" x14ac:dyDescent="0.2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2.75" customHeight="1" x14ac:dyDescent="0.2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2.75" customHeight="1" x14ac:dyDescent="0.2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2.75" customHeight="1" x14ac:dyDescent="0.2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2.75" customHeight="1" x14ac:dyDescent="0.2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2.75" customHeight="1" x14ac:dyDescent="0.2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2.75" customHeight="1" x14ac:dyDescent="0.2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2.75" customHeight="1" x14ac:dyDescent="0.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2.75" customHeight="1" x14ac:dyDescent="0.2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2.75" customHeight="1" x14ac:dyDescent="0.2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2.75" customHeight="1" x14ac:dyDescent="0.2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2.75" customHeight="1" x14ac:dyDescent="0.2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2.75" customHeight="1" x14ac:dyDescent="0.2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2.75" customHeight="1" x14ac:dyDescent="0.2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2.75" customHeight="1" x14ac:dyDescent="0.2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2.75" customHeight="1" x14ac:dyDescent="0.2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2.75" customHeight="1" x14ac:dyDescent="0.2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2.75" customHeight="1" x14ac:dyDescent="0.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2.75" customHeight="1" x14ac:dyDescent="0.2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2.75" customHeight="1" x14ac:dyDescent="0.2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2.75" customHeight="1" x14ac:dyDescent="0.2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2.75" customHeight="1" x14ac:dyDescent="0.2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2.75" customHeight="1" x14ac:dyDescent="0.2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2.75" customHeight="1" x14ac:dyDescent="0.2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2.75" customHeight="1" x14ac:dyDescent="0.2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2.75" customHeight="1" x14ac:dyDescent="0.2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2.75" customHeight="1" x14ac:dyDescent="0.2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2.75" customHeight="1" x14ac:dyDescent="0.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2.75" customHeight="1" x14ac:dyDescent="0.2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2.75" customHeight="1" x14ac:dyDescent="0.2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2.75" customHeight="1" x14ac:dyDescent="0.2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2.75" customHeight="1" x14ac:dyDescent="0.2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2.75" customHeight="1" x14ac:dyDescent="0.2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2.75" customHeight="1" x14ac:dyDescent="0.2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2.75" customHeight="1" x14ac:dyDescent="0.2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2.75" customHeight="1" x14ac:dyDescent="0.2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2.75" customHeight="1" x14ac:dyDescent="0.2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2.75" customHeight="1" x14ac:dyDescent="0.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2.75" customHeight="1" x14ac:dyDescent="0.2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2.75" customHeight="1" x14ac:dyDescent="0.2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2.75" customHeight="1" x14ac:dyDescent="0.2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2.75" customHeight="1" x14ac:dyDescent="0.2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2.75" customHeight="1" x14ac:dyDescent="0.2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2.75" customHeight="1" x14ac:dyDescent="0.2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2.75" customHeight="1" x14ac:dyDescent="0.2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2.75" customHeight="1" x14ac:dyDescent="0.2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2.75" customHeight="1" x14ac:dyDescent="0.2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2.75" customHeight="1" x14ac:dyDescent="0.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2.75" customHeight="1" x14ac:dyDescent="0.2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2.75" customHeight="1" x14ac:dyDescent="0.2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2.75" customHeight="1" x14ac:dyDescent="0.2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2.75" customHeight="1" x14ac:dyDescent="0.2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2.75" customHeight="1" x14ac:dyDescent="0.2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2.75" customHeight="1" x14ac:dyDescent="0.2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2.75" customHeight="1" x14ac:dyDescent="0.2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2.75" customHeight="1" x14ac:dyDescent="0.2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2.75" customHeight="1" x14ac:dyDescent="0.2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2.75" customHeight="1" x14ac:dyDescent="0.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2.75" customHeight="1" x14ac:dyDescent="0.2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2.75" customHeight="1" x14ac:dyDescent="0.2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2.75" customHeight="1" x14ac:dyDescent="0.2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2.75" customHeight="1" x14ac:dyDescent="0.2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2.75" customHeight="1" x14ac:dyDescent="0.2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2.75" customHeight="1" x14ac:dyDescent="0.2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2.75" customHeight="1" x14ac:dyDescent="0.2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2.75" customHeight="1" x14ac:dyDescent="0.2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2.75" customHeight="1" x14ac:dyDescent="0.2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2.75" customHeight="1" x14ac:dyDescent="0.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2.75" customHeight="1" x14ac:dyDescent="0.2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2.75" customHeight="1" x14ac:dyDescent="0.2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2.75" customHeight="1" x14ac:dyDescent="0.2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2.75" customHeight="1" x14ac:dyDescent="0.2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2.75" customHeight="1" x14ac:dyDescent="0.2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2.75" customHeight="1" x14ac:dyDescent="0.2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2.75" customHeight="1" x14ac:dyDescent="0.2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2.75" customHeight="1" x14ac:dyDescent="0.2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2.75" customHeight="1" x14ac:dyDescent="0.2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2.75" customHeight="1" x14ac:dyDescent="0.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2.75" customHeight="1" x14ac:dyDescent="0.2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2.75" customHeight="1" x14ac:dyDescent="0.2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2.75" customHeight="1" x14ac:dyDescent="0.2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2.75" customHeight="1" x14ac:dyDescent="0.2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2.75" customHeight="1" x14ac:dyDescent="0.2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2.75" customHeight="1" x14ac:dyDescent="0.2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2.75" customHeight="1" x14ac:dyDescent="0.2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2.75" customHeight="1" x14ac:dyDescent="0.2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2.75" customHeight="1" x14ac:dyDescent="0.2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2.75" customHeight="1" x14ac:dyDescent="0.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2.75" customHeight="1" x14ac:dyDescent="0.2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2.75" customHeight="1" x14ac:dyDescent="0.2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2.75" customHeight="1" x14ac:dyDescent="0.2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2.75" customHeight="1" x14ac:dyDescent="0.2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2.75" customHeight="1" x14ac:dyDescent="0.2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2.75" customHeight="1" x14ac:dyDescent="0.2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2.75" customHeight="1" x14ac:dyDescent="0.2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2.75" customHeight="1" x14ac:dyDescent="0.2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2.75" customHeight="1" x14ac:dyDescent="0.2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2.75" customHeight="1" x14ac:dyDescent="0.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2.75" customHeight="1" x14ac:dyDescent="0.2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2.75" customHeight="1" x14ac:dyDescent="0.2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2.75" customHeight="1" x14ac:dyDescent="0.2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2.75" customHeight="1" x14ac:dyDescent="0.2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2.75" customHeight="1" x14ac:dyDescent="0.2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2.75" customHeight="1" x14ac:dyDescent="0.2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2.75" customHeight="1" x14ac:dyDescent="0.2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2.75" customHeight="1" x14ac:dyDescent="0.2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2.75" customHeight="1" x14ac:dyDescent="0.2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2.75" customHeight="1" x14ac:dyDescent="0.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2.75" customHeight="1" x14ac:dyDescent="0.2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2.75" customHeight="1" x14ac:dyDescent="0.2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2.75" customHeight="1" x14ac:dyDescent="0.2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2.75" customHeight="1" x14ac:dyDescent="0.2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2.75" customHeight="1" x14ac:dyDescent="0.2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2.75" customHeight="1" x14ac:dyDescent="0.2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2.75" customHeight="1" x14ac:dyDescent="0.2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2.75" customHeight="1" x14ac:dyDescent="0.2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2.75" customHeight="1" x14ac:dyDescent="0.2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2.75" customHeight="1" x14ac:dyDescent="0.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2.75" customHeight="1" x14ac:dyDescent="0.2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2.75" customHeight="1" x14ac:dyDescent="0.2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2.75" customHeight="1" x14ac:dyDescent="0.2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2.75" customHeight="1" x14ac:dyDescent="0.2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2.75" customHeight="1" x14ac:dyDescent="0.2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2.75" customHeight="1" x14ac:dyDescent="0.2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2.75" customHeight="1" x14ac:dyDescent="0.2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2.75" customHeight="1" x14ac:dyDescent="0.2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2.75" customHeight="1" x14ac:dyDescent="0.2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2.75" customHeight="1" x14ac:dyDescent="0.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2.75" customHeight="1" x14ac:dyDescent="0.2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2.75" customHeight="1" x14ac:dyDescent="0.2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2.75" customHeight="1" x14ac:dyDescent="0.2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2.75" customHeight="1" x14ac:dyDescent="0.2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2.75" customHeight="1" x14ac:dyDescent="0.2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2.75" customHeight="1" x14ac:dyDescent="0.2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2.75" customHeight="1" x14ac:dyDescent="0.2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2.75" customHeight="1" x14ac:dyDescent="0.2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2.75" customHeight="1" x14ac:dyDescent="0.2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2.75" customHeight="1" x14ac:dyDescent="0.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2.75" customHeight="1" x14ac:dyDescent="0.2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2.75" customHeight="1" x14ac:dyDescent="0.2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2.75" customHeight="1" x14ac:dyDescent="0.2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2.75" customHeight="1" x14ac:dyDescent="0.2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2.75" customHeight="1" x14ac:dyDescent="0.2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2.75" customHeight="1" x14ac:dyDescent="0.2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2.75" customHeight="1" x14ac:dyDescent="0.2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2.75" customHeight="1" x14ac:dyDescent="0.2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2.75" customHeight="1" x14ac:dyDescent="0.2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2.75" customHeight="1" x14ac:dyDescent="0.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2.75" customHeight="1" x14ac:dyDescent="0.2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2.75" customHeight="1" x14ac:dyDescent="0.2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2.75" customHeight="1" x14ac:dyDescent="0.2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2.75" customHeight="1" x14ac:dyDescent="0.2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2.75" customHeight="1" x14ac:dyDescent="0.2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2.75" customHeight="1" x14ac:dyDescent="0.2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2.75" customHeight="1" x14ac:dyDescent="0.2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2.75" customHeight="1" x14ac:dyDescent="0.2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2.75" customHeight="1" x14ac:dyDescent="0.2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2.75" customHeight="1" x14ac:dyDescent="0.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2.75" customHeight="1" x14ac:dyDescent="0.2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2.75" customHeight="1" x14ac:dyDescent="0.2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2.75" customHeight="1" x14ac:dyDescent="0.2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2.75" customHeight="1" x14ac:dyDescent="0.2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2.75" customHeight="1" x14ac:dyDescent="0.2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2.75" customHeight="1" x14ac:dyDescent="0.2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2.75" customHeight="1" x14ac:dyDescent="0.2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2.75" customHeight="1" x14ac:dyDescent="0.2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2.75" customHeight="1" x14ac:dyDescent="0.2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2.75" customHeight="1" x14ac:dyDescent="0.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2.75" customHeight="1" x14ac:dyDescent="0.2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2.75" customHeight="1" x14ac:dyDescent="0.2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2.75" customHeight="1" x14ac:dyDescent="0.2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2.75" customHeight="1" x14ac:dyDescent="0.2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2.75" customHeight="1" x14ac:dyDescent="0.2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2.75" customHeight="1" x14ac:dyDescent="0.2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2.75" customHeight="1" x14ac:dyDescent="0.2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2.75" customHeight="1" x14ac:dyDescent="0.2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2.75" customHeight="1" x14ac:dyDescent="0.2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2.75" customHeight="1" x14ac:dyDescent="0.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2.75" customHeight="1" x14ac:dyDescent="0.2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2.75" customHeight="1" x14ac:dyDescent="0.2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2.75" customHeight="1" x14ac:dyDescent="0.2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2.75" customHeight="1" x14ac:dyDescent="0.2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2.75" customHeight="1" x14ac:dyDescent="0.2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2.75" customHeight="1" x14ac:dyDescent="0.2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2.75" customHeight="1" x14ac:dyDescent="0.2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2.75" customHeight="1" x14ac:dyDescent="0.2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2.75" customHeight="1" x14ac:dyDescent="0.2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2.75" customHeight="1" x14ac:dyDescent="0.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2.75" customHeight="1" x14ac:dyDescent="0.2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2.75" customHeight="1" x14ac:dyDescent="0.2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2.75" customHeight="1" x14ac:dyDescent="0.2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2.75" customHeight="1" x14ac:dyDescent="0.2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2.75" customHeight="1" x14ac:dyDescent="0.2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2.75" customHeight="1" x14ac:dyDescent="0.2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2.75" customHeight="1" x14ac:dyDescent="0.2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2.75" customHeight="1" x14ac:dyDescent="0.2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2.75" customHeight="1" x14ac:dyDescent="0.2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2.75" customHeight="1" x14ac:dyDescent="0.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2.75" customHeight="1" x14ac:dyDescent="0.2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2.75" customHeight="1" x14ac:dyDescent="0.2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2.75" customHeight="1" x14ac:dyDescent="0.2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2.75" customHeight="1" x14ac:dyDescent="0.2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2.75" customHeight="1" x14ac:dyDescent="0.2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2.75" customHeight="1" x14ac:dyDescent="0.2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2.75" customHeight="1" x14ac:dyDescent="0.2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2.75" customHeight="1" x14ac:dyDescent="0.2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2.75" customHeight="1" x14ac:dyDescent="0.2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2.75" customHeight="1" x14ac:dyDescent="0.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2.75" customHeight="1" x14ac:dyDescent="0.2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2.75" customHeight="1" x14ac:dyDescent="0.2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2.75" customHeight="1" x14ac:dyDescent="0.2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2.75" customHeight="1" x14ac:dyDescent="0.2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2.75" customHeight="1" x14ac:dyDescent="0.2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2.75" customHeight="1" x14ac:dyDescent="0.2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2.75" customHeight="1" x14ac:dyDescent="0.2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2.75" customHeight="1" x14ac:dyDescent="0.2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2.75" customHeight="1" x14ac:dyDescent="0.2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2.75" customHeight="1" x14ac:dyDescent="0.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2.75" customHeight="1" x14ac:dyDescent="0.2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2.75" customHeight="1" x14ac:dyDescent="0.2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2.75" customHeight="1" x14ac:dyDescent="0.2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2.75" customHeight="1" x14ac:dyDescent="0.2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2.75" customHeight="1" x14ac:dyDescent="0.2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2.75" customHeight="1" x14ac:dyDescent="0.2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2.75" customHeight="1" x14ac:dyDescent="0.2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2.75" customHeight="1" x14ac:dyDescent="0.2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2.75" customHeight="1" x14ac:dyDescent="0.2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2.75" customHeight="1" x14ac:dyDescent="0.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2.75" customHeight="1" x14ac:dyDescent="0.2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2.75" customHeight="1" x14ac:dyDescent="0.2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2.75" customHeight="1" x14ac:dyDescent="0.2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2.75" customHeight="1" x14ac:dyDescent="0.2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2.75" customHeight="1" x14ac:dyDescent="0.2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2.75" customHeight="1" x14ac:dyDescent="0.2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2.75" customHeight="1" x14ac:dyDescent="0.2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2.75" customHeight="1" x14ac:dyDescent="0.2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2.75" customHeight="1" x14ac:dyDescent="0.2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2.75" customHeight="1" x14ac:dyDescent="0.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2.75" customHeight="1" x14ac:dyDescent="0.2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2.75" customHeight="1" x14ac:dyDescent="0.2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2.75" customHeight="1" x14ac:dyDescent="0.2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2.75" customHeight="1" x14ac:dyDescent="0.2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2.75" customHeight="1" x14ac:dyDescent="0.2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2.75" customHeight="1" x14ac:dyDescent="0.2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2.75" customHeight="1" x14ac:dyDescent="0.2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2.75" customHeight="1" x14ac:dyDescent="0.2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2.75" customHeight="1" x14ac:dyDescent="0.2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2.75" customHeight="1" x14ac:dyDescent="0.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2.75" customHeight="1" x14ac:dyDescent="0.2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2.75" customHeight="1" x14ac:dyDescent="0.2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2.75" customHeight="1" x14ac:dyDescent="0.2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2.75" customHeight="1" x14ac:dyDescent="0.2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2.75" customHeight="1" x14ac:dyDescent="0.2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2.75" customHeight="1" x14ac:dyDescent="0.2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2.75" customHeight="1" x14ac:dyDescent="0.2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2.75" customHeight="1" x14ac:dyDescent="0.2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2.75" customHeight="1" x14ac:dyDescent="0.2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2.75" customHeight="1" x14ac:dyDescent="0.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2.75" customHeight="1" x14ac:dyDescent="0.2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2.75" customHeight="1" x14ac:dyDescent="0.2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2.75" customHeight="1" x14ac:dyDescent="0.2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2.75" customHeight="1" x14ac:dyDescent="0.2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2.75" customHeight="1" x14ac:dyDescent="0.2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2.75" customHeight="1" x14ac:dyDescent="0.2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2.75" customHeight="1" x14ac:dyDescent="0.2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2.75" customHeight="1" x14ac:dyDescent="0.2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2.75" customHeight="1" x14ac:dyDescent="0.2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2.75" customHeight="1" x14ac:dyDescent="0.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2.75" customHeight="1" x14ac:dyDescent="0.2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2.75" customHeight="1" x14ac:dyDescent="0.2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2.75" customHeight="1" x14ac:dyDescent="0.2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2.75" customHeight="1" x14ac:dyDescent="0.2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2.75" customHeight="1" x14ac:dyDescent="0.2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2.75" customHeight="1" x14ac:dyDescent="0.2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2.75" customHeight="1" x14ac:dyDescent="0.2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2.75" customHeight="1" x14ac:dyDescent="0.2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16">
    <mergeCell ref="A1:F2"/>
    <mergeCell ref="A3:F3"/>
    <mergeCell ref="A4:F4"/>
    <mergeCell ref="A5:F5"/>
    <mergeCell ref="A12:F12"/>
    <mergeCell ref="A14:F14"/>
    <mergeCell ref="A15:F15"/>
    <mergeCell ref="A43:F43"/>
    <mergeCell ref="A45:F45"/>
    <mergeCell ref="A16:F16"/>
    <mergeCell ref="A27:F27"/>
    <mergeCell ref="A29:F29"/>
    <mergeCell ref="A30:F30"/>
    <mergeCell ref="A37:F37"/>
    <mergeCell ref="A39:F39"/>
    <mergeCell ref="A41:F41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26</vt:i4>
      </vt:variant>
    </vt:vector>
  </HeadingPairs>
  <TitlesOfParts>
    <vt:vector size="38" baseType="lpstr">
      <vt:lpstr>CONCEITOS</vt:lpstr>
      <vt:lpstr>EXE0001</vt:lpstr>
      <vt:lpstr>EXE0001-1</vt:lpstr>
      <vt:lpstr>EXE0002</vt:lpstr>
      <vt:lpstr>EXE0003</vt:lpstr>
      <vt:lpstr>EXE0004</vt:lpstr>
      <vt:lpstr>EXE0005</vt:lpstr>
      <vt:lpstr>INSTRUÇÕES</vt:lpstr>
      <vt:lpstr>EXE0006</vt:lpstr>
      <vt:lpstr>EXE0007</vt:lpstr>
      <vt:lpstr>Planilha1</vt:lpstr>
      <vt:lpstr>EXE0008</vt:lpstr>
      <vt:lpstr>água</vt:lpstr>
      <vt:lpstr>Aluguel</vt:lpstr>
      <vt:lpstr>Celesc</vt:lpstr>
      <vt:lpstr>Comissões</vt:lpstr>
      <vt:lpstr>Condomínio</vt:lpstr>
      <vt:lpstr>Contr._de_Manutenção</vt:lpstr>
      <vt:lpstr>Contribuição_Líquida</vt:lpstr>
      <vt:lpstr>DEPTO</vt:lpstr>
      <vt:lpstr>Faturamento_Bruto</vt:lpstr>
      <vt:lpstr>Faturamento_Líquido</vt:lpstr>
      <vt:lpstr>Folha_de_Pagamento</vt:lpstr>
      <vt:lpstr>Hospedagem</vt:lpstr>
      <vt:lpstr>Impostos</vt:lpstr>
      <vt:lpstr>Impostos___Folha</vt:lpstr>
      <vt:lpstr>Instrutores</vt:lpstr>
      <vt:lpstr>Lucro_Gerencial</vt:lpstr>
      <vt:lpstr>Material_de_Escritório</vt:lpstr>
      <vt:lpstr>Material_de_Limpeza</vt:lpstr>
      <vt:lpstr>Material_Didático</vt:lpstr>
      <vt:lpstr>NOME</vt:lpstr>
      <vt:lpstr>Porc_do_Lucro_Gerencial</vt:lpstr>
      <vt:lpstr>Telefone</vt:lpstr>
      <vt:lpstr>Total_Gastos_Fixos</vt:lpstr>
      <vt:lpstr>Total_Gastos_Variáveis</vt:lpstr>
      <vt:lpstr>Transporte_Aéreo</vt:lpstr>
      <vt:lpstr>Transporte_Terrestre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ARQUELAU</dc:creator>
  <cp:lastModifiedBy>MARCIO SCHOENFELDER</cp:lastModifiedBy>
  <dcterms:created xsi:type="dcterms:W3CDTF">2006-04-23T12:23:24Z</dcterms:created>
  <dcterms:modified xsi:type="dcterms:W3CDTF">2026-04-07T13:19:15Z</dcterms:modified>
</cp:coreProperties>
</file>